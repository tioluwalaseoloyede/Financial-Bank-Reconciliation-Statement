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upaa/Downloads/"/>
    </mc:Choice>
  </mc:AlternateContent>
  <xr:revisionPtr revIDLastSave="0" documentId="13_ncr:9_{54B8B238-E447-7F49-A1C2-7BAA431AC003}" xr6:coauthVersionLast="47" xr6:coauthVersionMax="47" xr10:uidLastSave="{00000000-0000-0000-0000-000000000000}"/>
  <bookViews>
    <workbookView xWindow="1500" yWindow="1400" windowWidth="27640" windowHeight="16680" xr2:uid="{21E01515-1929-8B4D-9634-F5F919A2ABB0}"/>
  </bookViews>
  <sheets>
    <sheet name="Bank Reconciliation Statement" sheetId="3" r:id="rId1"/>
    <sheet name="bank_statement_jun2026" sheetId="1" r:id="rId2"/>
    <sheet name="gl_cash_extract_jun2026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3" l="1"/>
  <c r="B10" i="3"/>
  <c r="C9" i="3"/>
  <c r="B9" i="3"/>
  <c r="C8" i="3"/>
  <c r="B8" i="3"/>
  <c r="C7" i="3"/>
  <c r="B7" i="3"/>
  <c r="B6" i="3"/>
  <c r="B5" i="3"/>
  <c r="B4" i="3"/>
  <c r="H124" i="2"/>
  <c r="E124" i="2"/>
  <c r="D125" i="1"/>
  <c r="F2" i="2"/>
  <c r="G2" i="2" s="1"/>
  <c r="F3" i="2"/>
  <c r="G3" i="2" s="1"/>
  <c r="F4" i="2"/>
  <c r="G4" i="2" s="1"/>
  <c r="F5" i="2"/>
  <c r="G5" i="2" s="1"/>
  <c r="F6" i="2"/>
  <c r="G6" i="2" s="1"/>
  <c r="F7" i="2"/>
  <c r="G7" i="2" s="1"/>
  <c r="F8" i="2"/>
  <c r="G8" i="2" s="1"/>
  <c r="F9" i="2"/>
  <c r="G9" i="2" s="1"/>
  <c r="F10" i="2"/>
  <c r="G10" i="2" s="1"/>
  <c r="F11" i="2"/>
  <c r="G11" i="2" s="1"/>
  <c r="F12" i="2"/>
  <c r="G12" i="2" s="1"/>
  <c r="F13" i="2"/>
  <c r="G13" i="2" s="1"/>
  <c r="F14" i="2"/>
  <c r="G14" i="2" s="1"/>
  <c r="F15" i="2"/>
  <c r="G15" i="2" s="1"/>
  <c r="F16" i="2"/>
  <c r="G16" i="2" s="1"/>
  <c r="F17" i="2"/>
  <c r="G17" i="2" s="1"/>
  <c r="F18" i="2"/>
  <c r="G18" i="2" s="1"/>
  <c r="F19" i="2"/>
  <c r="G19" i="2" s="1"/>
  <c r="F20" i="2"/>
  <c r="G20" i="2" s="1"/>
  <c r="F21" i="2"/>
  <c r="G21" i="2" s="1"/>
  <c r="F22" i="2"/>
  <c r="G22" i="2" s="1"/>
  <c r="F23" i="2"/>
  <c r="G23" i="2" s="1"/>
  <c r="F24" i="2"/>
  <c r="G24" i="2" s="1"/>
  <c r="F25" i="2"/>
  <c r="G25" i="2" s="1"/>
  <c r="F26" i="2"/>
  <c r="G26" i="2" s="1"/>
  <c r="F27" i="2"/>
  <c r="G27" i="2" s="1"/>
  <c r="F28" i="2"/>
  <c r="G28" i="2" s="1"/>
  <c r="F29" i="2"/>
  <c r="G29" i="2" s="1"/>
  <c r="F30" i="2"/>
  <c r="G30" i="2" s="1"/>
  <c r="F31" i="2"/>
  <c r="G31" i="2" s="1"/>
  <c r="F32" i="2"/>
  <c r="G32" i="2" s="1"/>
  <c r="F33" i="2"/>
  <c r="G33" i="2" s="1"/>
  <c r="F34" i="2"/>
  <c r="G34" i="2" s="1"/>
  <c r="F35" i="2"/>
  <c r="G35" i="2" s="1"/>
  <c r="F36" i="2"/>
  <c r="G36" i="2" s="1"/>
  <c r="F37" i="2"/>
  <c r="G37" i="2" s="1"/>
  <c r="F38" i="2"/>
  <c r="G38" i="2" s="1"/>
  <c r="F39" i="2"/>
  <c r="G39" i="2" s="1"/>
  <c r="F40" i="2"/>
  <c r="G40" i="2" s="1"/>
  <c r="F41" i="2"/>
  <c r="G41" i="2" s="1"/>
  <c r="F42" i="2"/>
  <c r="G42" i="2" s="1"/>
  <c r="F43" i="2"/>
  <c r="G43" i="2" s="1"/>
  <c r="F44" i="2"/>
  <c r="G44" i="2" s="1"/>
  <c r="F45" i="2"/>
  <c r="G45" i="2" s="1"/>
  <c r="F46" i="2"/>
  <c r="G46" i="2" s="1"/>
  <c r="F47" i="2"/>
  <c r="G47" i="2" s="1"/>
  <c r="F48" i="2"/>
  <c r="G48" i="2" s="1"/>
  <c r="F49" i="2"/>
  <c r="G49" i="2" s="1"/>
  <c r="F50" i="2"/>
  <c r="G50" i="2" s="1"/>
  <c r="F51" i="2"/>
  <c r="G51" i="2" s="1"/>
  <c r="F52" i="2"/>
  <c r="G52" i="2" s="1"/>
  <c r="F53" i="2"/>
  <c r="G53" i="2" s="1"/>
  <c r="F54" i="2"/>
  <c r="G54" i="2" s="1"/>
  <c r="F55" i="2"/>
  <c r="G55" i="2" s="1"/>
  <c r="F56" i="2"/>
  <c r="G56" i="2" s="1"/>
  <c r="F57" i="2"/>
  <c r="G57" i="2" s="1"/>
  <c r="F58" i="2"/>
  <c r="G58" i="2" s="1"/>
  <c r="F59" i="2"/>
  <c r="G59" i="2" s="1"/>
  <c r="F60" i="2"/>
  <c r="G60" i="2" s="1"/>
  <c r="F61" i="2"/>
  <c r="G61" i="2" s="1"/>
  <c r="F62" i="2"/>
  <c r="G62" i="2" s="1"/>
  <c r="F63" i="2"/>
  <c r="G63" i="2" s="1"/>
  <c r="F64" i="2"/>
  <c r="G64" i="2" s="1"/>
  <c r="F65" i="2"/>
  <c r="G65" i="2" s="1"/>
  <c r="F66" i="2"/>
  <c r="G66" i="2" s="1"/>
  <c r="F67" i="2"/>
  <c r="G67" i="2" s="1"/>
  <c r="F68" i="2"/>
  <c r="G68" i="2" s="1"/>
  <c r="F69" i="2"/>
  <c r="G69" i="2" s="1"/>
  <c r="F70" i="2"/>
  <c r="G70" i="2" s="1"/>
  <c r="F71" i="2"/>
  <c r="G71" i="2" s="1"/>
  <c r="F72" i="2"/>
  <c r="G72" i="2" s="1"/>
  <c r="F73" i="2"/>
  <c r="G73" i="2" s="1"/>
  <c r="F74" i="2"/>
  <c r="G74" i="2" s="1"/>
  <c r="F75" i="2"/>
  <c r="G75" i="2" s="1"/>
  <c r="F76" i="2"/>
  <c r="G76" i="2" s="1"/>
  <c r="F77" i="2"/>
  <c r="G77" i="2" s="1"/>
  <c r="F78" i="2"/>
  <c r="G78" i="2" s="1"/>
  <c r="F79" i="2"/>
  <c r="G79" i="2" s="1"/>
  <c r="F80" i="2"/>
  <c r="G80" i="2" s="1"/>
  <c r="F81" i="2"/>
  <c r="G81" i="2" s="1"/>
  <c r="F82" i="2"/>
  <c r="G82" i="2" s="1"/>
  <c r="F83" i="2"/>
  <c r="G83" i="2" s="1"/>
  <c r="F84" i="2"/>
  <c r="G84" i="2" s="1"/>
  <c r="F85" i="2"/>
  <c r="G85" i="2" s="1"/>
  <c r="F86" i="2"/>
  <c r="G86" i="2" s="1"/>
  <c r="F87" i="2"/>
  <c r="G87" i="2" s="1"/>
  <c r="F88" i="2"/>
  <c r="G88" i="2" s="1"/>
  <c r="F89" i="2"/>
  <c r="G89" i="2" s="1"/>
  <c r="F90" i="2"/>
  <c r="G90" i="2" s="1"/>
  <c r="F91" i="2"/>
  <c r="G91" i="2" s="1"/>
  <c r="F92" i="2"/>
  <c r="G92" i="2" s="1"/>
  <c r="F93" i="2"/>
  <c r="G93" i="2" s="1"/>
  <c r="F94" i="2"/>
  <c r="G94" i="2" s="1"/>
  <c r="F95" i="2"/>
  <c r="G95" i="2" s="1"/>
  <c r="F96" i="2"/>
  <c r="G96" i="2" s="1"/>
  <c r="F97" i="2"/>
  <c r="G97" i="2" s="1"/>
  <c r="F98" i="2"/>
  <c r="G98" i="2" s="1"/>
  <c r="F99" i="2"/>
  <c r="G99" i="2" s="1"/>
  <c r="F100" i="2"/>
  <c r="G100" i="2" s="1"/>
  <c r="F101" i="2"/>
  <c r="G101" i="2" s="1"/>
  <c r="F102" i="2"/>
  <c r="G102" i="2" s="1"/>
  <c r="F103" i="2"/>
  <c r="G103" i="2" s="1"/>
  <c r="F104" i="2"/>
  <c r="G104" i="2" s="1"/>
  <c r="F105" i="2"/>
  <c r="G105" i="2" s="1"/>
  <c r="F106" i="2"/>
  <c r="G106" i="2" s="1"/>
  <c r="F107" i="2"/>
  <c r="G107" i="2" s="1"/>
  <c r="F108" i="2"/>
  <c r="G108" i="2" s="1"/>
  <c r="F109" i="2"/>
  <c r="G109" i="2" s="1"/>
  <c r="F110" i="2"/>
  <c r="G110" i="2" s="1"/>
  <c r="F111" i="2"/>
  <c r="G111" i="2" s="1"/>
  <c r="F112" i="2"/>
  <c r="G112" i="2" s="1"/>
  <c r="F113" i="2"/>
  <c r="G113" i="2" s="1"/>
  <c r="F114" i="2"/>
  <c r="G114" i="2" s="1"/>
  <c r="F115" i="2"/>
  <c r="G115" i="2" s="1"/>
  <c r="F116" i="2"/>
  <c r="G116" i="2" s="1"/>
  <c r="F117" i="2"/>
  <c r="G117" i="2" s="1"/>
  <c r="F118" i="2"/>
  <c r="G118" i="2" s="1"/>
  <c r="F119" i="2"/>
  <c r="G119" i="2" s="1"/>
  <c r="F120" i="2"/>
  <c r="G120" i="2" s="1"/>
  <c r="F121" i="2"/>
  <c r="G121" i="2" s="1"/>
  <c r="F122" i="2"/>
  <c r="G122" i="2" s="1"/>
  <c r="E2" i="1"/>
  <c r="F2" i="1" s="1"/>
  <c r="E3" i="1"/>
  <c r="G3" i="1" s="1"/>
  <c r="E4" i="1"/>
  <c r="F4" i="1" s="1"/>
  <c r="E5" i="1"/>
  <c r="F5" i="1" s="1"/>
  <c r="E6" i="1"/>
  <c r="F6" i="1" s="1"/>
  <c r="E7" i="1"/>
  <c r="F7" i="1" s="1"/>
  <c r="E8" i="1"/>
  <c r="G8" i="1" s="1"/>
  <c r="E9" i="1"/>
  <c r="G9" i="1" s="1"/>
  <c r="E10" i="1"/>
  <c r="F10" i="1" s="1"/>
  <c r="E11" i="1"/>
  <c r="G11" i="1" s="1"/>
  <c r="E12" i="1"/>
  <c r="F12" i="1" s="1"/>
  <c r="E13" i="1"/>
  <c r="F13" i="1" s="1"/>
  <c r="E14" i="1"/>
  <c r="F14" i="1" s="1"/>
  <c r="E15" i="1"/>
  <c r="F15" i="1" s="1"/>
  <c r="E16" i="1"/>
  <c r="G16" i="1" s="1"/>
  <c r="E17" i="1"/>
  <c r="G17" i="1" s="1"/>
  <c r="E18" i="1"/>
  <c r="F18" i="1" s="1"/>
  <c r="E19" i="1"/>
  <c r="G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G25" i="1" s="1"/>
  <c r="E26" i="1"/>
  <c r="F26" i="1" s="1"/>
  <c r="E27" i="1"/>
  <c r="G27" i="1" s="1"/>
  <c r="E28" i="1"/>
  <c r="F28" i="1" s="1"/>
  <c r="E29" i="1"/>
  <c r="F29" i="1" s="1"/>
  <c r="E30" i="1"/>
  <c r="F30" i="1" s="1"/>
  <c r="E31" i="1"/>
  <c r="F31" i="1" s="1"/>
  <c r="E32" i="1"/>
  <c r="G32" i="1" s="1"/>
  <c r="E33" i="1"/>
  <c r="G33" i="1" s="1"/>
  <c r="E34" i="1"/>
  <c r="F34" i="1" s="1"/>
  <c r="E35" i="1"/>
  <c r="G35" i="1" s="1"/>
  <c r="E36" i="1"/>
  <c r="F36" i="1" s="1"/>
  <c r="E37" i="1"/>
  <c r="F37" i="1" s="1"/>
  <c r="E38" i="1"/>
  <c r="F38" i="1" s="1"/>
  <c r="E39" i="1"/>
  <c r="F39" i="1" s="1"/>
  <c r="E40" i="1"/>
  <c r="G40" i="1" s="1"/>
  <c r="E41" i="1"/>
  <c r="F41" i="1" s="1"/>
  <c r="E42" i="1"/>
  <c r="F42" i="1" s="1"/>
  <c r="E43" i="1"/>
  <c r="G43" i="1" s="1"/>
  <c r="E44" i="1"/>
  <c r="F44" i="1" s="1"/>
  <c r="E45" i="1"/>
  <c r="F45" i="1" s="1"/>
  <c r="E46" i="1"/>
  <c r="F46" i="1" s="1"/>
  <c r="E47" i="1"/>
  <c r="F47" i="1" s="1"/>
  <c r="E48" i="1"/>
  <c r="F48" i="1" s="1"/>
  <c r="E49" i="1"/>
  <c r="G49" i="1" s="1"/>
  <c r="E50" i="1"/>
  <c r="F50" i="1" s="1"/>
  <c r="E51" i="1"/>
  <c r="G51" i="1" s="1"/>
  <c r="E52" i="1"/>
  <c r="F52" i="1" s="1"/>
  <c r="E53" i="1"/>
  <c r="F53" i="1" s="1"/>
  <c r="E54" i="1"/>
  <c r="F54" i="1" s="1"/>
  <c r="E55" i="1"/>
  <c r="F55" i="1" s="1"/>
  <c r="E56" i="1"/>
  <c r="G56" i="1" s="1"/>
  <c r="E57" i="1"/>
  <c r="G57" i="1" s="1"/>
  <c r="E58" i="1"/>
  <c r="F58" i="1" s="1"/>
  <c r="E59" i="1"/>
  <c r="G59" i="1" s="1"/>
  <c r="E60" i="1"/>
  <c r="F60" i="1" s="1"/>
  <c r="E61" i="1"/>
  <c r="F61" i="1" s="1"/>
  <c r="E62" i="1"/>
  <c r="F62" i="1" s="1"/>
  <c r="E63" i="1"/>
  <c r="F63" i="1" s="1"/>
  <c r="E64" i="1"/>
  <c r="F64" i="1" s="1"/>
  <c r="E65" i="1"/>
  <c r="F65" i="1" s="1"/>
  <c r="E66" i="1"/>
  <c r="F66" i="1" s="1"/>
  <c r="E67" i="1"/>
  <c r="G67" i="1" s="1"/>
  <c r="E68" i="1"/>
  <c r="F68" i="1" s="1"/>
  <c r="E69" i="1"/>
  <c r="F69" i="1" s="1"/>
  <c r="E70" i="1"/>
  <c r="F70" i="1" s="1"/>
  <c r="E71" i="1"/>
  <c r="F71" i="1" s="1"/>
  <c r="E72" i="1"/>
  <c r="G72" i="1" s="1"/>
  <c r="E73" i="1"/>
  <c r="G73" i="1" s="1"/>
  <c r="E74" i="1"/>
  <c r="F74" i="1" s="1"/>
  <c r="E75" i="1"/>
  <c r="F75" i="1" s="1"/>
  <c r="E76" i="1"/>
  <c r="F76" i="1" s="1"/>
  <c r="E77" i="1"/>
  <c r="F77" i="1" s="1"/>
  <c r="E78" i="1"/>
  <c r="F78" i="1" s="1"/>
  <c r="E79" i="1"/>
  <c r="F79" i="1" s="1"/>
  <c r="E80" i="1"/>
  <c r="G80" i="1" s="1"/>
  <c r="E81" i="1"/>
  <c r="F81" i="1" s="1"/>
  <c r="E82" i="1"/>
  <c r="F82" i="1" s="1"/>
  <c r="E83" i="1"/>
  <c r="F83" i="1" s="1"/>
  <c r="E84" i="1"/>
  <c r="F84" i="1" s="1"/>
  <c r="E85" i="1"/>
  <c r="F85" i="1" s="1"/>
  <c r="E86" i="1"/>
  <c r="F86" i="1" s="1"/>
  <c r="E87" i="1"/>
  <c r="F87" i="1" s="1"/>
  <c r="E88" i="1"/>
  <c r="G88" i="1" s="1"/>
  <c r="E89" i="1"/>
  <c r="F89" i="1" s="1"/>
  <c r="E90" i="1"/>
  <c r="F90" i="1" s="1"/>
  <c r="E91" i="1"/>
  <c r="F91" i="1" s="1"/>
  <c r="E92" i="1"/>
  <c r="F92" i="1" s="1"/>
  <c r="E93" i="1"/>
  <c r="F93" i="1" s="1"/>
  <c r="E94" i="1"/>
  <c r="F94" i="1" s="1"/>
  <c r="E95" i="1"/>
  <c r="F95" i="1" s="1"/>
  <c r="E96" i="1"/>
  <c r="F96" i="1" s="1"/>
  <c r="E97" i="1"/>
  <c r="F97" i="1" s="1"/>
  <c r="E98" i="1"/>
  <c r="F98" i="1" s="1"/>
  <c r="E99" i="1"/>
  <c r="F99" i="1" s="1"/>
  <c r="E100" i="1"/>
  <c r="F100" i="1" s="1"/>
  <c r="E101" i="1"/>
  <c r="F101" i="1" s="1"/>
  <c r="E102" i="1"/>
  <c r="F102" i="1" s="1"/>
  <c r="E103" i="1"/>
  <c r="F103" i="1" s="1"/>
  <c r="E104" i="1"/>
  <c r="F104" i="1" s="1"/>
  <c r="E105" i="1"/>
  <c r="F105" i="1" s="1"/>
  <c r="E106" i="1"/>
  <c r="F106" i="1" s="1"/>
  <c r="E107" i="1"/>
  <c r="F107" i="1" s="1"/>
  <c r="E108" i="1"/>
  <c r="F108" i="1" s="1"/>
  <c r="E109" i="1"/>
  <c r="F109" i="1" s="1"/>
  <c r="E110" i="1"/>
  <c r="F110" i="1" s="1"/>
  <c r="E111" i="1"/>
  <c r="F111" i="1" s="1"/>
  <c r="E112" i="1"/>
  <c r="F112" i="1" s="1"/>
  <c r="E113" i="1"/>
  <c r="F113" i="1" s="1"/>
  <c r="E114" i="1"/>
  <c r="F114" i="1" s="1"/>
  <c r="E115" i="1"/>
  <c r="F115" i="1" s="1"/>
  <c r="E116" i="1"/>
  <c r="F116" i="1" s="1"/>
  <c r="E117" i="1"/>
  <c r="F117" i="1" s="1"/>
  <c r="E118" i="1"/>
  <c r="F118" i="1" s="1"/>
  <c r="E119" i="1"/>
  <c r="F119" i="1" s="1"/>
  <c r="E120" i="1"/>
  <c r="F120" i="1" s="1"/>
  <c r="E121" i="1"/>
  <c r="F121" i="1" s="1"/>
  <c r="E122" i="1"/>
  <c r="F122" i="1" s="1"/>
  <c r="E123" i="1"/>
  <c r="F123" i="1" s="1"/>
  <c r="H4" i="2" l="1"/>
  <c r="H28" i="2"/>
  <c r="H29" i="2"/>
  <c r="H60" i="2"/>
  <c r="H61" i="2"/>
  <c r="H92" i="2"/>
  <c r="H93" i="2"/>
  <c r="H36" i="2"/>
  <c r="H68" i="2"/>
  <c r="H100" i="2"/>
  <c r="H5" i="2"/>
  <c r="H37" i="2"/>
  <c r="H69" i="2"/>
  <c r="H101" i="2"/>
  <c r="H12" i="2"/>
  <c r="H44" i="2"/>
  <c r="H76" i="2"/>
  <c r="H108" i="2"/>
  <c r="H13" i="2"/>
  <c r="H45" i="2"/>
  <c r="H77" i="2"/>
  <c r="H109" i="2"/>
  <c r="H20" i="2"/>
  <c r="H52" i="2"/>
  <c r="H84" i="2"/>
  <c r="H116" i="2"/>
  <c r="H21" i="2"/>
  <c r="H53" i="2"/>
  <c r="H85" i="2"/>
  <c r="H117" i="2"/>
  <c r="H6" i="2"/>
  <c r="H14" i="2"/>
  <c r="H22" i="2"/>
  <c r="H30" i="2"/>
  <c r="H38" i="2"/>
  <c r="H46" i="2"/>
  <c r="H54" i="2"/>
  <c r="H62" i="2"/>
  <c r="H70" i="2"/>
  <c r="H78" i="2"/>
  <c r="H86" i="2"/>
  <c r="H94" i="2"/>
  <c r="H102" i="2"/>
  <c r="H110" i="2"/>
  <c r="H118" i="2"/>
  <c r="H7" i="2"/>
  <c r="H15" i="2"/>
  <c r="H23" i="2"/>
  <c r="H31" i="2"/>
  <c r="H39" i="2"/>
  <c r="H47" i="2"/>
  <c r="H55" i="2"/>
  <c r="H63" i="2"/>
  <c r="H71" i="2"/>
  <c r="H79" i="2"/>
  <c r="H87" i="2"/>
  <c r="H95" i="2"/>
  <c r="H103" i="2"/>
  <c r="H111" i="2"/>
  <c r="H119" i="2"/>
  <c r="H8" i="2"/>
  <c r="H16" i="2"/>
  <c r="H24" i="2"/>
  <c r="H32" i="2"/>
  <c r="H40" i="2"/>
  <c r="H48" i="2"/>
  <c r="H56" i="2"/>
  <c r="H64" i="2"/>
  <c r="H72" i="2"/>
  <c r="H80" i="2"/>
  <c r="H88" i="2"/>
  <c r="H96" i="2"/>
  <c r="H104" i="2"/>
  <c r="H112" i="2"/>
  <c r="H120" i="2"/>
  <c r="H9" i="2"/>
  <c r="H17" i="2"/>
  <c r="H25" i="2"/>
  <c r="H33" i="2"/>
  <c r="H41" i="2"/>
  <c r="H49" i="2"/>
  <c r="H57" i="2"/>
  <c r="H65" i="2"/>
  <c r="H73" i="2"/>
  <c r="H81" i="2"/>
  <c r="H89" i="2"/>
  <c r="H97" i="2"/>
  <c r="H105" i="2"/>
  <c r="H113" i="2"/>
  <c r="H121" i="2"/>
  <c r="H2" i="2"/>
  <c r="H10" i="2"/>
  <c r="H18" i="2"/>
  <c r="H26" i="2"/>
  <c r="H34" i="2"/>
  <c r="H42" i="2"/>
  <c r="H50" i="2"/>
  <c r="H58" i="2"/>
  <c r="H66" i="2"/>
  <c r="H74" i="2"/>
  <c r="H82" i="2"/>
  <c r="H90" i="2"/>
  <c r="H98" i="2"/>
  <c r="H106" i="2"/>
  <c r="H114" i="2"/>
  <c r="H122" i="2"/>
  <c r="H3" i="2"/>
  <c r="H11" i="2"/>
  <c r="H19" i="2"/>
  <c r="H27" i="2"/>
  <c r="H35" i="2"/>
  <c r="H43" i="2"/>
  <c r="H51" i="2"/>
  <c r="H59" i="2"/>
  <c r="H67" i="2"/>
  <c r="H75" i="2"/>
  <c r="H83" i="2"/>
  <c r="H91" i="2"/>
  <c r="H99" i="2"/>
  <c r="H107" i="2"/>
  <c r="H115" i="2"/>
  <c r="G38" i="1"/>
  <c r="F43" i="1"/>
  <c r="G28" i="1"/>
  <c r="F40" i="1"/>
  <c r="F17" i="1"/>
  <c r="G46" i="1"/>
  <c r="F16" i="1"/>
  <c r="G54" i="1"/>
  <c r="F11" i="1"/>
  <c r="G70" i="1"/>
  <c r="F3" i="1"/>
  <c r="G78" i="1"/>
  <c r="G6" i="1"/>
  <c r="G92" i="1"/>
  <c r="F88" i="1"/>
  <c r="G14" i="1"/>
  <c r="G5" i="1"/>
  <c r="G69" i="1"/>
  <c r="G29" i="1"/>
  <c r="G52" i="1"/>
  <c r="G93" i="1"/>
  <c r="F35" i="1"/>
  <c r="G12" i="1"/>
  <c r="G30" i="1"/>
  <c r="G53" i="1"/>
  <c r="G76" i="1"/>
  <c r="G100" i="1"/>
  <c r="G13" i="1"/>
  <c r="G36" i="1"/>
  <c r="G77" i="1"/>
  <c r="G101" i="1"/>
  <c r="G108" i="1"/>
  <c r="F67" i="1"/>
  <c r="G20" i="1"/>
  <c r="G61" i="1"/>
  <c r="G84" i="1"/>
  <c r="G109" i="1"/>
  <c r="G60" i="1"/>
  <c r="F59" i="1"/>
  <c r="G21" i="1"/>
  <c r="G44" i="1"/>
  <c r="G62" i="1"/>
  <c r="G85" i="1"/>
  <c r="G116" i="1"/>
  <c r="G37" i="1"/>
  <c r="F51" i="1"/>
  <c r="G4" i="1"/>
  <c r="G22" i="1"/>
  <c r="G45" i="1"/>
  <c r="G68" i="1"/>
  <c r="G86" i="1"/>
  <c r="G117" i="1"/>
  <c r="F80" i="1"/>
  <c r="F56" i="1"/>
  <c r="F33" i="1"/>
  <c r="G94" i="1"/>
  <c r="G102" i="1"/>
  <c r="G110" i="1"/>
  <c r="G118" i="1"/>
  <c r="F57" i="1"/>
  <c r="F32" i="1"/>
  <c r="F9" i="1"/>
  <c r="G7" i="1"/>
  <c r="G15" i="1"/>
  <c r="G23" i="1"/>
  <c r="G31" i="1"/>
  <c r="G39" i="1"/>
  <c r="G47" i="1"/>
  <c r="G55" i="1"/>
  <c r="G63" i="1"/>
  <c r="G71" i="1"/>
  <c r="G79" i="1"/>
  <c r="G87" i="1"/>
  <c r="G95" i="1"/>
  <c r="G103" i="1"/>
  <c r="G111" i="1"/>
  <c r="G119" i="1"/>
  <c r="F73" i="1"/>
  <c r="F72" i="1"/>
  <c r="F49" i="1"/>
  <c r="F27" i="1"/>
  <c r="F8" i="1"/>
  <c r="G24" i="1"/>
  <c r="G48" i="1"/>
  <c r="G64" i="1"/>
  <c r="G96" i="1"/>
  <c r="G104" i="1"/>
  <c r="G112" i="1"/>
  <c r="G120" i="1"/>
  <c r="F25" i="1"/>
  <c r="G41" i="1"/>
  <c r="G65" i="1"/>
  <c r="G81" i="1"/>
  <c r="G89" i="1"/>
  <c r="G97" i="1"/>
  <c r="G105" i="1"/>
  <c r="G113" i="1"/>
  <c r="G121" i="1"/>
  <c r="G2" i="1"/>
  <c r="G10" i="1"/>
  <c r="G18" i="1"/>
  <c r="G26" i="1"/>
  <c r="G34" i="1"/>
  <c r="G42" i="1"/>
  <c r="G50" i="1"/>
  <c r="G58" i="1"/>
  <c r="G66" i="1"/>
  <c r="G74" i="1"/>
  <c r="G82" i="1"/>
  <c r="G90" i="1"/>
  <c r="G98" i="1"/>
  <c r="G106" i="1"/>
  <c r="G114" i="1"/>
  <c r="G122" i="1"/>
  <c r="F19" i="1"/>
  <c r="G75" i="1"/>
  <c r="G83" i="1"/>
  <c r="G91" i="1"/>
  <c r="G99" i="1"/>
  <c r="G107" i="1"/>
  <c r="G115" i="1"/>
  <c r="G123" i="1"/>
  <c r="G125" i="1" l="1"/>
</calcChain>
</file>

<file path=xl/sharedStrings.xml><?xml version="1.0" encoding="utf-8"?>
<sst xmlns="http://schemas.openxmlformats.org/spreadsheetml/2006/main" count="761" uniqueCount="336">
  <si>
    <t>Date</t>
  </si>
  <si>
    <t>Description</t>
  </si>
  <si>
    <t>Reference</t>
  </si>
  <si>
    <t>Amount</t>
  </si>
  <si>
    <t>CHEQUE 1042</t>
  </si>
  <si>
    <t>CHQ#1042</t>
  </si>
  <si>
    <t>CHEQUE 1064</t>
  </si>
  <si>
    <t>CHQ#1064</t>
  </si>
  <si>
    <t>DEP ROGERS COMM AP REF40771</t>
  </si>
  <si>
    <t>REF40771</t>
  </si>
  <si>
    <t>PAD SHELL FLEET REF40144</t>
  </si>
  <si>
    <t>REF40144</t>
  </si>
  <si>
    <t>CHEQUE 1051</t>
  </si>
  <si>
    <t>CHQ#1051</t>
  </si>
  <si>
    <t>DEP TELUS COMM AP REF40191</t>
  </si>
  <si>
    <t>REF40191</t>
  </si>
  <si>
    <t>PAD ENTERPRISE FLEET REF40486</t>
  </si>
  <si>
    <t>REF40486</t>
  </si>
  <si>
    <t>CHEQUE 1048</t>
  </si>
  <si>
    <t>CHQ#1048</t>
  </si>
  <si>
    <t>DEP ROGERS COMM AP REF40398</t>
  </si>
  <si>
    <t>REF40398</t>
  </si>
  <si>
    <t>EFT BRANDT TRACTOR REF40276</t>
  </si>
  <si>
    <t>REF40276</t>
  </si>
  <si>
    <t>PAD MILTON HYDRO REF40442</t>
  </si>
  <si>
    <t>REF40442</t>
  </si>
  <si>
    <t>EFT BELL CDA PAYMENT REF40826</t>
  </si>
  <si>
    <t>REF40826</t>
  </si>
  <si>
    <t>EFT BRANDT TRACTOR REF40587</t>
  </si>
  <si>
    <t>REF40587</t>
  </si>
  <si>
    <t>EFT WESCO DIST REF40326</t>
  </si>
  <si>
    <t>REF40326</t>
  </si>
  <si>
    <t>PAD SHELL FLEET REF40128</t>
  </si>
  <si>
    <t>REF40128</t>
  </si>
  <si>
    <t>DEP BELL CDA AP REF40634</t>
  </si>
  <si>
    <t>REF40634</t>
  </si>
  <si>
    <t>PAD GFL ENVIRONMENTAL REF40334</t>
  </si>
  <si>
    <t>REF40334</t>
  </si>
  <si>
    <t>PAD SHELL FLEET REF40539</t>
  </si>
  <si>
    <t>REF40539</t>
  </si>
  <si>
    <t>CHEQUE 1050</t>
  </si>
  <si>
    <t>CHQ#1050</t>
  </si>
  <si>
    <t>CHEQUE 1053</t>
  </si>
  <si>
    <t>CHQ#1053</t>
  </si>
  <si>
    <t>CHEQUE 1058</t>
  </si>
  <si>
    <t>CHQ#1058</t>
  </si>
  <si>
    <t>CHEQUE 1063</t>
  </si>
  <si>
    <t>CHQ#1063</t>
  </si>
  <si>
    <t>DEP BELL CDA AP REF40527</t>
  </si>
  <si>
    <t>REF40527</t>
  </si>
  <si>
    <t>DEP BELL CDA AP REF40561</t>
  </si>
  <si>
    <t>REF40561</t>
  </si>
  <si>
    <t>EFT BELL CDA PAYMENT REF40379</t>
  </si>
  <si>
    <t>REF40379</t>
  </si>
  <si>
    <t>EFT TELECON DESIGN REF40514</t>
  </si>
  <si>
    <t>REF40514</t>
  </si>
  <si>
    <t>PAD ENTERPRISE FLEET REF40206</t>
  </si>
  <si>
    <t>REF40206</t>
  </si>
  <si>
    <t>PAD ENTERPRISE FLEET REF40816</t>
  </si>
  <si>
    <t>REF40816</t>
  </si>
  <si>
    <t>PAD INTACT INS REF40652</t>
  </si>
  <si>
    <t>REF40652</t>
  </si>
  <si>
    <t>PAD PETROCAN SUPERPASS REF40596</t>
  </si>
  <si>
    <t>REF40596</t>
  </si>
  <si>
    <t>PAD UNITED RENTALS REF40432</t>
  </si>
  <si>
    <t>REF40432</t>
  </si>
  <si>
    <t>POS STAPLES BUS ADV REF40466</t>
  </si>
  <si>
    <t>REF40466</t>
  </si>
  <si>
    <t>CHEQUE 1060</t>
  </si>
  <si>
    <t>CHQ#1060</t>
  </si>
  <si>
    <t>CHEQUE 1062</t>
  </si>
  <si>
    <t>CHQ#1062</t>
  </si>
  <si>
    <t>CHEQUE 1065</t>
  </si>
  <si>
    <t>CHQ#1065</t>
  </si>
  <si>
    <t>CHEQUE 1073</t>
  </si>
  <si>
    <t>CHQ#1073</t>
  </si>
  <si>
    <t>CHEQUE 1077</t>
  </si>
  <si>
    <t>CHQ#1077</t>
  </si>
  <si>
    <t>DEP BELL CDA AP REF40600</t>
  </si>
  <si>
    <t>REF40600</t>
  </si>
  <si>
    <t>DEP ROGERS COMM AP REF40123</t>
  </si>
  <si>
    <t>REF40123</t>
  </si>
  <si>
    <t>PAD INTACT INS REF40211</t>
  </si>
  <si>
    <t>REF40211</t>
  </si>
  <si>
    <t>PAD SHELL FLEET REF40147</t>
  </si>
  <si>
    <t>REF40147</t>
  </si>
  <si>
    <t>PAD GFL ENVIRONMENTAL SVC REF40929</t>
  </si>
  <si>
    <t>REF40929</t>
  </si>
  <si>
    <t>CHEQUE 1046</t>
  </si>
  <si>
    <t>CHQ#1046</t>
  </si>
  <si>
    <t>CHEQUE 1076</t>
  </si>
  <si>
    <t>CHQ#1076</t>
  </si>
  <si>
    <t>DEP ROGERS COMM AP REF40691</t>
  </si>
  <si>
    <t>REF40691</t>
  </si>
  <si>
    <t>DEP TELUS COMM AP REF40158</t>
  </si>
  <si>
    <t>REF40158</t>
  </si>
  <si>
    <t>PAD INTACT INS REF40786</t>
  </si>
  <si>
    <t>REF40786</t>
  </si>
  <si>
    <t>CHEQUE 1044</t>
  </si>
  <si>
    <t>CHQ#1044</t>
  </si>
  <si>
    <t>CHEQUE 1070</t>
  </si>
  <si>
    <t>CHQ#1070</t>
  </si>
  <si>
    <t>CHEQUE 1072</t>
  </si>
  <si>
    <t>CHQ#1072</t>
  </si>
  <si>
    <t>EFT BRANDT TRACTOR REF40638</t>
  </si>
  <si>
    <t>REF40638</t>
  </si>
  <si>
    <t>PAD ENTERPRISE FLEET REF40376</t>
  </si>
  <si>
    <t>REF40376</t>
  </si>
  <si>
    <t>POS STAPLES BUS ADV REF40167</t>
  </si>
  <si>
    <t>REF40167</t>
  </si>
  <si>
    <t>CHEQUE 1043</t>
  </si>
  <si>
    <t>CHQ#1043</t>
  </si>
  <si>
    <t>CHEQUE 1047</t>
  </si>
  <si>
    <t>CHQ#1047</t>
  </si>
  <si>
    <t>CHEQUE 1054</t>
  </si>
  <si>
    <t>CHQ#1054</t>
  </si>
  <si>
    <t>CHEQUE 1067</t>
  </si>
  <si>
    <t>CHQ#1067</t>
  </si>
  <si>
    <t>CHEQUE 1068</t>
  </si>
  <si>
    <t>CHQ#1068</t>
  </si>
  <si>
    <t>CHEQUE 1071</t>
  </si>
  <si>
    <t>CHQ#1071</t>
  </si>
  <si>
    <t>EFT BELL CDA PAYMENT REF40721</t>
  </si>
  <si>
    <t>REF40721</t>
  </si>
  <si>
    <t>EFT ROGERS COMM REF40238</t>
  </si>
  <si>
    <t>REF40238</t>
  </si>
  <si>
    <t>EFT VERMEER CDA REF40614</t>
  </si>
  <si>
    <t>REF40614</t>
  </si>
  <si>
    <t>PAD MILTON HYDRO REF40659</t>
  </si>
  <si>
    <t>REF40659</t>
  </si>
  <si>
    <t>POS HOME DEPOT PRO REF40412</t>
  </si>
  <si>
    <t>REF40412</t>
  </si>
  <si>
    <t>POS STAPLES BUS ADV REF40284</t>
  </si>
  <si>
    <t>REF40284</t>
  </si>
  <si>
    <t>CHEQUE 1052</t>
  </si>
  <si>
    <t>CHQ#1052</t>
  </si>
  <si>
    <t>CHEQUE 1056</t>
  </si>
  <si>
    <t>CHQ#1056</t>
  </si>
  <si>
    <t>DEP ROGERS COMM AP REF40337</t>
  </si>
  <si>
    <t>REF40337</t>
  </si>
  <si>
    <t>DEP TELUS COMM AP REF40451</t>
  </si>
  <si>
    <t>REF40451</t>
  </si>
  <si>
    <t>CHEQUE 1057</t>
  </si>
  <si>
    <t>CHQ#1057</t>
  </si>
  <si>
    <t>DEP BELL CDA AP REF40736</t>
  </si>
  <si>
    <t>REF40736</t>
  </si>
  <si>
    <t>PAD SHELL FLEET CARD SVC REF40833</t>
  </si>
  <si>
    <t>REF40833</t>
  </si>
  <si>
    <t>ADP PAYROLL PPD REF40219</t>
  </si>
  <si>
    <t>REF40219</t>
  </si>
  <si>
    <t>CHEQUE 1049</t>
  </si>
  <si>
    <t>CHQ#1049</t>
  </si>
  <si>
    <t>CHEQUE 1055</t>
  </si>
  <si>
    <t>CHQ#1055</t>
  </si>
  <si>
    <t>CHEQUE 1074</t>
  </si>
  <si>
    <t>CHQ#1074</t>
  </si>
  <si>
    <t>DEP COGECO CONNEXION REF40357</t>
  </si>
  <si>
    <t>REF40357</t>
  </si>
  <si>
    <t>DEP ROGERS COMM AP REF40295</t>
  </si>
  <si>
    <t>REF40295</t>
  </si>
  <si>
    <t>DEP TELUS COMM AP REF40260</t>
  </si>
  <si>
    <t>REF40260</t>
  </si>
  <si>
    <t>NSF RETURNED ITEM FEE</t>
  </si>
  <si>
    <t>NSF-0618</t>
  </si>
  <si>
    <t>PAD ENTERPRISE FLEET REF40580</t>
  </si>
  <si>
    <t>REF40580</t>
  </si>
  <si>
    <t>PAD MILTON HYDRO UTIL REF40918</t>
  </si>
  <si>
    <t>REF40918</t>
  </si>
  <si>
    <t>CHEQUE 1066</t>
  </si>
  <si>
    <t>CHQ#1066</t>
  </si>
  <si>
    <t>DEP BELL CDA AP REF40504</t>
  </si>
  <si>
    <t>REF40504</t>
  </si>
  <si>
    <t>EFT BRANDT TRACTOR REF40408</t>
  </si>
  <si>
    <t>REF40408</t>
  </si>
  <si>
    <t>EFT REGION HALTON PERMIT REF40270</t>
  </si>
  <si>
    <t>REF40270</t>
  </si>
  <si>
    <t>EFT VERMEER CDA REF40547</t>
  </si>
  <si>
    <t>REF40547</t>
  </si>
  <si>
    <t>CHEQUE 1059</t>
  </si>
  <si>
    <t>CHQ#1059</t>
  </si>
  <si>
    <t>CHEQUE 1061</t>
  </si>
  <si>
    <t>CHQ#1061</t>
  </si>
  <si>
    <t>CHEQUE 1078</t>
  </si>
  <si>
    <t>CHQ#1078</t>
  </si>
  <si>
    <t>CHQ DITCH WITCH ONT REF40249</t>
  </si>
  <si>
    <t>REF40249</t>
  </si>
  <si>
    <t>DEP COGECO CONNEXION REF40229</t>
  </si>
  <si>
    <t>REF40229</t>
  </si>
  <si>
    <t>EFT ANIXTER CDA SUPPLY REF40901</t>
  </si>
  <si>
    <t>REF40901</t>
  </si>
  <si>
    <t>EFT WSIB ONT PREMIUM REF40608</t>
  </si>
  <si>
    <t>REF40608</t>
  </si>
  <si>
    <t>MERCHANT PROCESSING FEE MONERIS</t>
  </si>
  <si>
    <t>MER-0622</t>
  </si>
  <si>
    <t>PAD ENTERPRISE FLEET REF40181</t>
  </si>
  <si>
    <t>REF40181</t>
  </si>
  <si>
    <t>PAD ENTERPRISE FLEET REF40801</t>
  </si>
  <si>
    <t>REF40801</t>
  </si>
  <si>
    <t>PAD INTACT INSURANCE PREM REF40884</t>
  </si>
  <si>
    <t>REF40884</t>
  </si>
  <si>
    <t>PAD UNITED RENTALS INC REF40865</t>
  </si>
  <si>
    <t>REF40865</t>
  </si>
  <si>
    <t>EFT TELECON DESIGN REF40618</t>
  </si>
  <si>
    <t>REF40618</t>
  </si>
  <si>
    <t>ADP PAYROLL PPD REF40752</t>
  </si>
  <si>
    <t>REF40752</t>
  </si>
  <si>
    <t>CHEQUE 1075</t>
  </si>
  <si>
    <t>CHQ#1075</t>
  </si>
  <si>
    <t>DEP ROGERS COMM AP REF40425</t>
  </si>
  <si>
    <t>REF40425</t>
  </si>
  <si>
    <t>EFT BELL CDA PAYMENT REF40314</t>
  </si>
  <si>
    <t>REF40314</t>
  </si>
  <si>
    <t>EFT WESCO DIST CANADA REF40852</t>
  </si>
  <si>
    <t>REF40852</t>
  </si>
  <si>
    <t>PAD MILTON HYDRO REF40780</t>
  </si>
  <si>
    <t>REF40780</t>
  </si>
  <si>
    <t>CHEQUE 1045</t>
  </si>
  <si>
    <t>CHQ#1045</t>
  </si>
  <si>
    <t>CHEQUE 1069</t>
  </si>
  <si>
    <t>CHQ#1069</t>
  </si>
  <si>
    <t>CHQ DITCH WITCH ONT REF40348</t>
  </si>
  <si>
    <t>REF40348</t>
  </si>
  <si>
    <t>EFT BRANDT TRACTOR REF40163</t>
  </si>
  <si>
    <t>REF40163</t>
  </si>
  <si>
    <t>EFT VERMEER CDA REF40542</t>
  </si>
  <si>
    <t>REF40542</t>
  </si>
  <si>
    <t>PRE-AUTH DEBIT UNKNOWN ORIG 7719</t>
  </si>
  <si>
    <t>PAD-7719</t>
  </si>
  <si>
    <t>E-TRANSFER RECEIVED T4X99A</t>
  </si>
  <si>
    <t>ETR-T4X99A</t>
  </si>
  <si>
    <t>EFT BRANDT TRACTOR REF40281</t>
  </si>
  <si>
    <t>REF40281</t>
  </si>
  <si>
    <t>EFT VERMEER CDA REF40716</t>
  </si>
  <si>
    <t>REF40716</t>
  </si>
  <si>
    <t>PAD PETROCAN SUPERPASS REF40482</t>
  </si>
  <si>
    <t>REF40482</t>
  </si>
  <si>
    <t>PAD SHELL FLEET REF40675</t>
  </si>
  <si>
    <t>REF40675</t>
  </si>
  <si>
    <t>PAD SHELL FLEET REF40706</t>
  </si>
  <si>
    <t>REF40706</t>
  </si>
  <si>
    <t>PAD UNITED RENTALS REF40341</t>
  </si>
  <si>
    <t>REF40341</t>
  </si>
  <si>
    <t>INTEREST EARNED</t>
  </si>
  <si>
    <t>INT-JUN</t>
  </si>
  <si>
    <t>MONTHLY ACCOUNT FEE</t>
  </si>
  <si>
    <t>SVC-JUN</t>
  </si>
  <si>
    <t>SERVICE CHARGE - WIRE PAYMENT</t>
  </si>
  <si>
    <t>WIRE-FEE</t>
  </si>
  <si>
    <t>Account</t>
  </si>
  <si>
    <t>Memo</t>
  </si>
  <si>
    <t>DocNo</t>
  </si>
  <si>
    <t>Cogeco underground build</t>
  </si>
  <si>
    <t>CHQ#1079</t>
  </si>
  <si>
    <t>CHQ#1081</t>
  </si>
  <si>
    <t>CHQ#1080</t>
  </si>
  <si>
    <t>CHQ#1082</t>
  </si>
  <si>
    <t>REF40957</t>
  </si>
  <si>
    <t>REF40947</t>
  </si>
  <si>
    <t>1010 Cash — Operating</t>
  </si>
  <si>
    <t>Milton Hydro — invoice payment</t>
  </si>
  <si>
    <t>Region of Halton — invoice payment</t>
  </si>
  <si>
    <t>Rogers Communications — progress billing</t>
  </si>
  <si>
    <t>Shell Fleet Card — invoice payment</t>
  </si>
  <si>
    <t>Enterprise Fleet Mgmt — invoice payment</t>
  </si>
  <si>
    <t>Telecon Design — invoice payment</t>
  </si>
  <si>
    <t>Telus network build — milestone</t>
  </si>
  <si>
    <t>Brandt Tractor Ltd — invoice payment</t>
  </si>
  <si>
    <t>Bell Canada — invoice payment</t>
  </si>
  <si>
    <t>WESCO Distribution — invoice payment</t>
  </si>
  <si>
    <t>Bell aerial build — holdback release</t>
  </si>
  <si>
    <t>GFL Environmental — invoice payment</t>
  </si>
  <si>
    <t>Ditch Witch of Ontario — invoice payment</t>
  </si>
  <si>
    <t>Intact Insurance — invoice payment</t>
  </si>
  <si>
    <t>Petro-Canada SuperPass — invoice payment</t>
  </si>
  <si>
    <t>Rogers Communications — invoice payment</t>
  </si>
  <si>
    <t>Staples Business — invoice payment</t>
  </si>
  <si>
    <t>United Rentals — invoice payment</t>
  </si>
  <si>
    <t>Vermeer Canada — invoice payment</t>
  </si>
  <si>
    <t>Home Depot Pro — invoice payment</t>
  </si>
  <si>
    <t>WSIB Ontario — invoice payment</t>
  </si>
  <si>
    <t>ADP Payroll — invoice payment</t>
  </si>
  <si>
    <t>Anixter Canada — invoice payment</t>
  </si>
  <si>
    <t>Ditch Witch of Ontario — parts invoice</t>
  </si>
  <si>
    <t>Region of Halton — road permit fees</t>
  </si>
  <si>
    <t>Vermeer Canada — drill head rebuild</t>
  </si>
  <si>
    <t>Brandt Tractor Ltd — service invoice</t>
  </si>
  <si>
    <t>GL MATCH</t>
  </si>
  <si>
    <t>Difference</t>
  </si>
  <si>
    <t>Bank Match</t>
  </si>
  <si>
    <t>Reconciliation Status</t>
  </si>
  <si>
    <t>Difference Amount</t>
  </si>
  <si>
    <t>Action / Notes</t>
  </si>
  <si>
    <t>Verify source and adjust GL to bank amount; bank–GL variance $0.09</t>
  </si>
  <si>
    <t>Verify source and adjust GL to bank amount; bank–GL variance -$0.31</t>
  </si>
  <si>
    <t>Verify source and adjust GL to bank amount; bank–GL variance -$0.18</t>
  </si>
  <si>
    <t>Post bank fee/charge to the GL</t>
  </si>
  <si>
    <t>Verify source and adjust GL to bank amount; bank–GL variance $0.14</t>
  </si>
  <si>
    <t>Verify source and adjust GL to bank amount; bank–GL variance -$0.63</t>
  </si>
  <si>
    <t>Verify source and adjust GL to bank amount; bank–GL variance $0.45</t>
  </si>
  <si>
    <t>Verify source and adjust GL to bank amount; bank–GL variance -$0.27</t>
  </si>
  <si>
    <t>Verify source and adjust GL to bank amount; bank–GL variance $0.36</t>
  </si>
  <si>
    <t>Investigate the bank-only transaction and post if valid</t>
  </si>
  <si>
    <t>Post bank interest income to the GL</t>
  </si>
  <si>
    <t>Full Bank Activity Total</t>
  </si>
  <si>
    <t>Net Amount Difference</t>
  </si>
  <si>
    <t>Verify source and adjust GL to bank amount; GL–bank variance -$0.09</t>
  </si>
  <si>
    <t>Verify source and adjust GL to bank amount; GL–bank variance $0.31</t>
  </si>
  <si>
    <t>Verify source and adjust GL to bank amount; GL–bank variance $0.18</t>
  </si>
  <si>
    <t>Verify source and adjust GL to bank amount; GL–bank variance -$0.14</t>
  </si>
  <si>
    <t>Verify source and adjust GL to bank amount; GL–bank variance $0.63</t>
  </si>
  <si>
    <t>Verify source and adjust GL to bank amount; GL–bank variance -$0.45</t>
  </si>
  <si>
    <t>Verify source and adjust GL to bank amount; GL–bank variance $0.27</t>
  </si>
  <si>
    <t>Outstanding payment—confirm it cleared after June</t>
  </si>
  <si>
    <t>Verify source and adjust GL to bank amount; GL–bank variance -$0.36</t>
  </si>
  <si>
    <t>Deposit in transit—confirm bank receipt after June</t>
  </si>
  <si>
    <t>Full GL Activity Total</t>
  </si>
  <si>
    <t>June 2026 Bank Reconciliation</t>
  </si>
  <si>
    <t>Reconciled from the cleaned bank statement and GL cash extract</t>
  </si>
  <si>
    <t>Reconciliation bridge</t>
  </si>
  <si>
    <t>Count</t>
  </si>
  <si>
    <t>Bank activity total</t>
  </si>
  <si>
    <t>GL activity total</t>
  </si>
  <si>
    <t>Raw GL less bank</t>
  </si>
  <si>
    <t>Less: GL-only transactions</t>
  </si>
  <si>
    <t>Add: Bank-only transactions</t>
  </si>
  <si>
    <t>Add: Bank–GL amount differences</t>
  </si>
  <si>
    <t>Adjusted GL activity</t>
  </si>
  <si>
    <t>Unreconciled variance</t>
  </si>
  <si>
    <t>Exception Type</t>
  </si>
  <si>
    <t>Description / Memo</t>
  </si>
  <si>
    <t>Bank Amount</t>
  </si>
  <si>
    <t>GL Amount</t>
  </si>
  <si>
    <t>Suggested Action</t>
  </si>
  <si>
    <t>Amount Difference</t>
  </si>
  <si>
    <t>Bank Only</t>
  </si>
  <si>
    <t>GL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</si>
</sst>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&quot;$&quot;#,##0.00;[Red]\-&quot;$&quot;#,##0.00"/>
    <numFmt numFmtId="165" formatCode="&quot;$&quot;#,##0.00"/>
  </numFmts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sz val="12"/>
      <color rgb="FF595959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7365D"/>
        <bgColor indexed="64"/>
      </patternFill>
    </fill>
    <fill>
      <patternFill patternType="solid">
        <fgColor rgb="FF4472C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6" fillId="0" borderId="0" xfId="0" applyFont="1"/>
    <xf numFmtId="164" fontId="16" fillId="0" borderId="0" xfId="0" applyNumberFormat="1" applyFont="1"/>
    <xf numFmtId="8" fontId="0" fillId="0" borderId="0" xfId="0" applyNumberFormat="1"/>
    <xf numFmtId="0" fontId="20" fillId="0" borderId="0" xfId="0" applyFont="1"/>
    <xf numFmtId="0" fontId="18" fillId="34" borderId="0" xfId="0" applyFont="1" applyFill="1"/>
    <xf numFmtId="0" fontId="19" fillId="33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6">
    <dxf>
      <numFmt numFmtId="12" formatCode="&quot;$&quot;#,##0.00_);[Red]\(&quot;$&quot;#,##0.00\)"/>
    </dxf>
    <dxf>
      <numFmt numFmtId="165" formatCode="&quot;$&quot;#,##0.00"/>
    </dxf>
    <dxf>
      <numFmt numFmtId="164" formatCode="&quot;$&quot;#,##0.00;[Red]\-&quot;$&quot;#,##0.00"/>
    </dxf>
    <dxf>
      <numFmt numFmtId="165" formatCode="&quot;$&quot;#,##0.00"/>
    </dxf>
    <dxf>
      <numFmt numFmtId="164" formatCode="&quot;$&quot;#,##0.00;[Red]\-&quot;$&quot;#,##0.00"/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numFmt numFmtId="19" formatCode="m/d/yy"/>
    </dxf>
    <dxf>
      <numFmt numFmtId="0" formatCode="General"/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9" formatCode="m/d/yy"/>
    </dxf>
    <dxf>
      <numFmt numFmtId="19" formatCode="m/d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68736E-3190-254B-9979-08F5CE116690}" name="Bankl" displayName="Bankl" ref="A1:H124" totalsRowCount="1">
  <autoFilter ref="A1:H123" xr:uid="{D868736E-3190-254B-9979-08F5CE116690}">
    <filterColumn colId="5">
      <filters>
        <filter val="Difference"/>
      </filters>
    </filterColumn>
  </autoFilter>
  <tableColumns count="8">
    <tableColumn id="1" xr3:uid="{F9DE7794-E711-B246-B187-F13D3130DBAE}" name="Date" dataDxfId="15" totalsRowDxfId="8"/>
    <tableColumn id="2" xr3:uid="{E902251D-7291-5E42-98D7-52F069CD7923}" name="Description"/>
    <tableColumn id="3" xr3:uid="{50F08671-FE6D-1E47-878D-15EC8E4675AC}" name="Reference"/>
    <tableColumn id="4" xr3:uid="{B448640C-8773-6841-8DCC-82D3D00E9E37}" name="Amount" dataDxfId="4"/>
    <tableColumn id="5" xr3:uid="{ACE52AF9-E0BA-4E48-8C6D-6DE1ED03D652}" name="GL MATCH" dataDxfId="3">
      <calculatedColumnFormula>_xlfn.XLOOKUP(C2,gl_cash_extract_jun2026!D:D,gl_cash_extract_jun2026!E:E,"Not Found")</calculatedColumnFormula>
    </tableColumn>
    <tableColumn id="6" xr3:uid="{7110F597-98DF-D142-B281-DC71FE1DE1D9}" name="Reconciliation Status" dataDxfId="11">
      <calculatedColumnFormula>IF(E2="Not Found","Missing from GL",IF(D2=E2,"Matched","Difference"))</calculatedColumnFormula>
    </tableColumn>
    <tableColumn id="7" xr3:uid="{1FD3CF01-CC69-1448-9C16-C36CB4454160}" name="Difference" dataDxfId="9">
      <calculatedColumnFormula>IF(ISNUMBER(E2),ROUND(D2-E2,2),"")</calculatedColumnFormula>
    </tableColumn>
    <tableColumn id="8" xr3:uid="{9DE03D07-C713-284D-B523-F350C6724282}" name="Action / 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62AC6AC-8302-B544-AD32-E1BA746322CD}" name="Cash" displayName="Cash" ref="A1:I123" totalsRowCount="1">
  <autoFilter ref="A1:I122" xr:uid="{562AC6AC-8302-B544-AD32-E1BA746322CD}">
    <filterColumn colId="6">
      <filters>
        <filter val="Missing from Bank"/>
      </filters>
    </filterColumn>
  </autoFilter>
  <tableColumns count="9">
    <tableColumn id="1" xr3:uid="{CD0000B8-08D2-C74A-A338-468A4E6609E1}" name="Date" dataDxfId="14"/>
    <tableColumn id="2" xr3:uid="{041A90B4-0950-364B-A003-51B9031DB577}" name="Account"/>
    <tableColumn id="3" xr3:uid="{59B29B94-74C0-0F4C-89FB-300E6FC3A320}" name="Memo"/>
    <tableColumn id="4" xr3:uid="{5D0E1AB3-A8F4-C34F-BA19-F48F49F1C6A6}" name="DocNo"/>
    <tableColumn id="5" xr3:uid="{71BBFF57-AFE7-B244-81E8-6EEFA5B16BCD}" name="Amount" dataDxfId="2"/>
    <tableColumn id="6" xr3:uid="{DD7ABBEE-370F-1046-ABA7-CFCB53150812}" name="Bank Match" dataDxfId="1">
      <calculatedColumnFormula>_xlfn.XLOOKUP(Cash[[#This Row],[DocNo]],bank_statement_jun2026!C:C,bank_statement_jun2026!D:D,"Not Found")</calculatedColumnFormula>
    </tableColumn>
    <tableColumn id="7" xr3:uid="{D9FFE063-35BF-1748-AC86-BC7C3B8ABCBA}" name="Reconciliation Status" dataDxfId="6">
      <calculatedColumnFormula>IF(F2="Not Found","Missing from Bank",IF(ROUND(E2,2)=ROUND(F2,2),"Matched","Difference"))</calculatedColumnFormula>
    </tableColumn>
    <tableColumn id="8" xr3:uid="{878F5E41-C5F8-F44B-BBC1-54E4DF403971}" name="Difference Amount" dataDxfId="0">
      <calculatedColumnFormula>IF(ISNUMBER(F2),ROUND(E2-F2,2),"")</calculatedColumnFormula>
    </tableColumn>
    <tableColumn id="9" xr3:uid="{91934976-489A-8D40-A8E2-CB8A499C97F3}" name="Action / 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36F4D-4ED7-8147-925D-F63F6425C09D}">
  <dimension ref="A1:G34"/>
  <sheetViews>
    <sheetView tabSelected="1" workbookViewId="0">
      <selection activeCell="E125" sqref="E125"/>
    </sheetView>
  </sheetViews>
  <sheetFormatPr baseColWidth="10" defaultRowHeight="16" x14ac:dyDescent="0.2"/>
  <cols>
    <col min="1" max="1" width="28.6640625" bestFit="1" customWidth="1"/>
    <col min="4" max="4" width="36" bestFit="1" customWidth="1"/>
  </cols>
  <sheetData>
    <row r="1" spans="1:7" ht="30" customHeight="1" x14ac:dyDescent="0.2">
      <c r="A1" s="9" t="s">
        <v>316</v>
      </c>
      <c r="B1" s="9"/>
      <c r="C1" s="9"/>
      <c r="D1" s="9"/>
      <c r="E1" s="9"/>
      <c r="F1" s="9"/>
      <c r="G1" s="9"/>
    </row>
    <row r="2" spans="1:7" x14ac:dyDescent="0.2">
      <c r="A2" s="7" t="s">
        <v>317</v>
      </c>
      <c r="B2" s="7"/>
      <c r="C2" s="7"/>
      <c r="D2" s="7"/>
      <c r="E2" s="7"/>
      <c r="F2" s="7"/>
      <c r="G2" s="7"/>
    </row>
    <row r="3" spans="1:7" x14ac:dyDescent="0.2">
      <c r="A3" s="8" t="s">
        <v>318</v>
      </c>
      <c r="B3" s="8" t="s">
        <v>3</v>
      </c>
      <c r="C3" s="8" t="s">
        <v>319</v>
      </c>
    </row>
    <row r="4" spans="1:7" x14ac:dyDescent="0.2">
      <c r="A4" t="s">
        <v>320</v>
      </c>
      <c r="B4" s="2">
        <f>SUM(Bankl[Amount])</f>
        <v>222907.30000000019</v>
      </c>
      <c r="C4">
        <v>122</v>
      </c>
    </row>
    <row r="5" spans="1:7" x14ac:dyDescent="0.2">
      <c r="A5" t="s">
        <v>321</v>
      </c>
      <c r="B5" s="2">
        <f>SUM(Cash[Amount])</f>
        <v>253663.77000000011</v>
      </c>
      <c r="C5">
        <v>121</v>
      </c>
    </row>
    <row r="6" spans="1:7" x14ac:dyDescent="0.2">
      <c r="A6" t="s">
        <v>322</v>
      </c>
      <c r="B6" s="2">
        <f>B5-B4</f>
        <v>30756.469999999914</v>
      </c>
    </row>
    <row r="7" spans="1:7" x14ac:dyDescent="0.2">
      <c r="A7" t="s">
        <v>323</v>
      </c>
      <c r="B7" s="2">
        <f>-SUMIFS(Cash[Amount],Cash[Reconciliation Status],"Missing from Bank")</f>
        <v>-31253.549999999996</v>
      </c>
      <c r="C7">
        <f>COUNTIF(Cash[Reconciliation Status],"Missing from Bank")</f>
        <v>6</v>
      </c>
    </row>
    <row r="8" spans="1:7" x14ac:dyDescent="0.2">
      <c r="A8" t="s">
        <v>324</v>
      </c>
      <c r="B8" s="2">
        <f>SUMIFS(Bankl[Amount],Bankl[Reconciliation Status],"Missing from GL")</f>
        <v>497.42999999999995</v>
      </c>
      <c r="C8">
        <f>COUNTIF(Bankl[Reconciliation Status],"Missing from GL")</f>
        <v>7</v>
      </c>
    </row>
    <row r="9" spans="1:7" x14ac:dyDescent="0.2">
      <c r="A9" t="s">
        <v>325</v>
      </c>
      <c r="B9" s="2">
        <f>SUMIFS(Bankl[Difference],Bankl[Reconciliation Status],"Difference")</f>
        <v>-0.35</v>
      </c>
      <c r="C9">
        <f>COUNTIF(Bankl[Reconciliation Status],"Difference")</f>
        <v>8</v>
      </c>
    </row>
    <row r="10" spans="1:7" x14ac:dyDescent="0.2">
      <c r="A10" s="4" t="s">
        <v>326</v>
      </c>
      <c r="B10" s="5">
        <f>B5+B7+B8+B9</f>
        <v>222907.3000000001</v>
      </c>
    </row>
    <row r="11" spans="1:7" x14ac:dyDescent="0.2">
      <c r="A11" s="4" t="s">
        <v>327</v>
      </c>
      <c r="B11" s="5">
        <f>B4-B10</f>
        <v>0</v>
      </c>
    </row>
    <row r="13" spans="1:7" x14ac:dyDescent="0.2">
      <c r="A13" s="8" t="s">
        <v>328</v>
      </c>
      <c r="B13" s="8" t="s">
        <v>0</v>
      </c>
      <c r="C13" s="8" t="s">
        <v>2</v>
      </c>
      <c r="D13" s="8" t="s">
        <v>329</v>
      </c>
      <c r="E13" s="8" t="s">
        <v>330</v>
      </c>
      <c r="F13" s="8" t="s">
        <v>331</v>
      </c>
      <c r="G13" s="8" t="s">
        <v>332</v>
      </c>
    </row>
    <row r="14" spans="1:7" x14ac:dyDescent="0.2">
      <c r="A14" t="s">
        <v>333</v>
      </c>
      <c r="B14" s="1">
        <v>46177</v>
      </c>
      <c r="C14" t="s">
        <v>27</v>
      </c>
      <c r="D14" t="s">
        <v>26</v>
      </c>
      <c r="E14">
        <v>-4183.58</v>
      </c>
      <c r="F14">
        <v>-4183.67</v>
      </c>
      <c r="G14" t="s">
        <v>292</v>
      </c>
    </row>
    <row r="15" spans="1:7" x14ac:dyDescent="0.2">
      <c r="A15" t="s">
        <v>333</v>
      </c>
      <c r="B15" s="1">
        <v>46183</v>
      </c>
      <c r="C15" t="s">
        <v>87</v>
      </c>
      <c r="D15" t="s">
        <v>86</v>
      </c>
      <c r="E15">
        <v>-743.6</v>
      </c>
      <c r="F15">
        <v>-743.29</v>
      </c>
      <c r="G15" t="s">
        <v>293</v>
      </c>
    </row>
    <row r="16" spans="1:7" x14ac:dyDescent="0.2">
      <c r="A16" t="s">
        <v>333</v>
      </c>
      <c r="B16" s="1">
        <v>46190</v>
      </c>
      <c r="C16" t="s">
        <v>147</v>
      </c>
      <c r="D16" t="s">
        <v>146</v>
      </c>
      <c r="E16">
        <v>-2411.46</v>
      </c>
      <c r="F16">
        <v>-2411.2800000000002</v>
      </c>
      <c r="G16" t="s">
        <v>294</v>
      </c>
    </row>
    <row r="17" spans="1:7" x14ac:dyDescent="0.2">
      <c r="A17" t="s">
        <v>334</v>
      </c>
      <c r="B17" s="1">
        <v>46191</v>
      </c>
      <c r="C17" t="s">
        <v>163</v>
      </c>
      <c r="D17" t="s">
        <v>162</v>
      </c>
      <c r="E17">
        <v>-48</v>
      </c>
      <c r="G17" t="s">
        <v>295</v>
      </c>
    </row>
    <row r="18" spans="1:7" x14ac:dyDescent="0.2">
      <c r="A18" t="s">
        <v>333</v>
      </c>
      <c r="B18" s="1">
        <v>46191</v>
      </c>
      <c r="C18" t="s">
        <v>167</v>
      </c>
      <c r="D18" t="s">
        <v>166</v>
      </c>
      <c r="E18">
        <v>-1154.68</v>
      </c>
      <c r="F18">
        <v>-1154.82</v>
      </c>
      <c r="G18" t="s">
        <v>296</v>
      </c>
    </row>
    <row r="19" spans="1:7" x14ac:dyDescent="0.2">
      <c r="A19" t="s">
        <v>333</v>
      </c>
      <c r="B19" s="1">
        <v>46195</v>
      </c>
      <c r="C19" t="s">
        <v>189</v>
      </c>
      <c r="D19" t="s">
        <v>188</v>
      </c>
      <c r="E19">
        <v>-9274.7900000000009</v>
      </c>
      <c r="F19">
        <v>-9274.16</v>
      </c>
      <c r="G19" t="s">
        <v>297</v>
      </c>
    </row>
    <row r="20" spans="1:7" x14ac:dyDescent="0.2">
      <c r="A20" t="s">
        <v>334</v>
      </c>
      <c r="B20" s="1">
        <v>46195</v>
      </c>
      <c r="C20" t="s">
        <v>193</v>
      </c>
      <c r="D20" t="s">
        <v>192</v>
      </c>
      <c r="E20">
        <v>-389.44</v>
      </c>
      <c r="G20" t="s">
        <v>295</v>
      </c>
    </row>
    <row r="21" spans="1:7" x14ac:dyDescent="0.2">
      <c r="A21" t="s">
        <v>333</v>
      </c>
      <c r="B21" s="1">
        <v>46195</v>
      </c>
      <c r="C21" t="s">
        <v>199</v>
      </c>
      <c r="D21" t="s">
        <v>198</v>
      </c>
      <c r="E21">
        <v>-1887.08</v>
      </c>
      <c r="F21">
        <v>-1887.53</v>
      </c>
      <c r="G21" t="s">
        <v>298</v>
      </c>
    </row>
    <row r="22" spans="1:7" x14ac:dyDescent="0.2">
      <c r="A22" t="s">
        <v>333</v>
      </c>
      <c r="B22" s="1">
        <v>46195</v>
      </c>
      <c r="C22" t="s">
        <v>201</v>
      </c>
      <c r="D22" t="s">
        <v>200</v>
      </c>
      <c r="E22">
        <v>-6649.18</v>
      </c>
      <c r="F22">
        <v>-6648.91</v>
      </c>
      <c r="G22" t="s">
        <v>299</v>
      </c>
    </row>
    <row r="23" spans="1:7" x14ac:dyDescent="0.2">
      <c r="A23" t="s">
        <v>333</v>
      </c>
      <c r="B23" s="1">
        <v>46197</v>
      </c>
      <c r="C23" t="s">
        <v>213</v>
      </c>
      <c r="D23" t="s">
        <v>212</v>
      </c>
      <c r="E23">
        <v>-13902.08</v>
      </c>
      <c r="F23">
        <v>-13902.44</v>
      </c>
      <c r="G23" t="s">
        <v>300</v>
      </c>
    </row>
    <row r="24" spans="1:7" x14ac:dyDescent="0.2">
      <c r="A24" t="s">
        <v>334</v>
      </c>
      <c r="B24" s="1">
        <v>46198</v>
      </c>
      <c r="C24" t="s">
        <v>227</v>
      </c>
      <c r="D24" t="s">
        <v>226</v>
      </c>
      <c r="E24">
        <v>-1260</v>
      </c>
      <c r="G24" t="s">
        <v>301</v>
      </c>
    </row>
    <row r="25" spans="1:7" x14ac:dyDescent="0.2">
      <c r="A25" t="s">
        <v>334</v>
      </c>
      <c r="B25" s="1">
        <v>46199</v>
      </c>
      <c r="C25" t="s">
        <v>229</v>
      </c>
      <c r="D25" t="s">
        <v>228</v>
      </c>
      <c r="E25">
        <v>2150</v>
      </c>
      <c r="G25" t="s">
        <v>295</v>
      </c>
    </row>
    <row r="26" spans="1:7" x14ac:dyDescent="0.2">
      <c r="A26" t="s">
        <v>334</v>
      </c>
      <c r="B26" s="1">
        <v>46203</v>
      </c>
      <c r="C26" t="s">
        <v>243</v>
      </c>
      <c r="D26" t="s">
        <v>242</v>
      </c>
      <c r="E26">
        <v>214.87</v>
      </c>
      <c r="G26" t="s">
        <v>302</v>
      </c>
    </row>
    <row r="27" spans="1:7" x14ac:dyDescent="0.2">
      <c r="A27" t="s">
        <v>334</v>
      </c>
      <c r="B27" s="1">
        <v>46203</v>
      </c>
      <c r="C27" t="s">
        <v>245</v>
      </c>
      <c r="D27" t="s">
        <v>244</v>
      </c>
      <c r="E27">
        <v>-125</v>
      </c>
      <c r="G27" t="s">
        <v>295</v>
      </c>
    </row>
    <row r="28" spans="1:7" x14ac:dyDescent="0.2">
      <c r="A28" t="s">
        <v>334</v>
      </c>
      <c r="B28" s="1">
        <v>46203</v>
      </c>
      <c r="C28" t="s">
        <v>247</v>
      </c>
      <c r="D28" t="s">
        <v>246</v>
      </c>
      <c r="E28">
        <v>-45</v>
      </c>
      <c r="G28" t="s">
        <v>295</v>
      </c>
    </row>
    <row r="29" spans="1:7" x14ac:dyDescent="0.2">
      <c r="A29" t="s">
        <v>335</v>
      </c>
      <c r="B29" s="1">
        <v>46199</v>
      </c>
      <c r="C29" t="s">
        <v>252</v>
      </c>
      <c r="D29" t="s">
        <v>282</v>
      </c>
      <c r="F29">
        <v>-7412.66</v>
      </c>
      <c r="G29" t="s">
        <v>312</v>
      </c>
    </row>
    <row r="30" spans="1:7" x14ac:dyDescent="0.2">
      <c r="A30" t="s">
        <v>335</v>
      </c>
      <c r="B30" s="1">
        <v>46202</v>
      </c>
      <c r="C30" t="s">
        <v>253</v>
      </c>
      <c r="D30" t="s">
        <v>283</v>
      </c>
      <c r="F30">
        <v>-2340.5500000000002</v>
      </c>
      <c r="G30" t="s">
        <v>312</v>
      </c>
    </row>
    <row r="31" spans="1:7" x14ac:dyDescent="0.2">
      <c r="A31" t="s">
        <v>335</v>
      </c>
      <c r="B31" s="1">
        <v>46202</v>
      </c>
      <c r="C31" t="s">
        <v>254</v>
      </c>
      <c r="D31" t="s">
        <v>284</v>
      </c>
      <c r="F31">
        <v>-15890.23</v>
      </c>
      <c r="G31" t="s">
        <v>312</v>
      </c>
    </row>
    <row r="32" spans="1:7" x14ac:dyDescent="0.2">
      <c r="A32" t="s">
        <v>335</v>
      </c>
      <c r="B32" s="1">
        <v>46203</v>
      </c>
      <c r="C32" t="s">
        <v>255</v>
      </c>
      <c r="D32" t="s">
        <v>285</v>
      </c>
      <c r="F32">
        <v>-4178.09</v>
      </c>
      <c r="G32" t="s">
        <v>312</v>
      </c>
    </row>
    <row r="33" spans="1:7" x14ac:dyDescent="0.2">
      <c r="A33" t="s">
        <v>335</v>
      </c>
      <c r="B33" s="1">
        <v>46203</v>
      </c>
      <c r="C33" t="s">
        <v>256</v>
      </c>
      <c r="D33" t="s">
        <v>251</v>
      </c>
      <c r="F33">
        <v>12764.31</v>
      </c>
      <c r="G33" t="s">
        <v>314</v>
      </c>
    </row>
    <row r="34" spans="1:7" x14ac:dyDescent="0.2">
      <c r="A34" t="s">
        <v>335</v>
      </c>
      <c r="B34" s="1">
        <v>46203</v>
      </c>
      <c r="C34" t="s">
        <v>257</v>
      </c>
      <c r="D34" t="s">
        <v>261</v>
      </c>
      <c r="F34">
        <v>48310.77</v>
      </c>
      <c r="G34" t="s">
        <v>314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4C358-460C-BD45-B26C-FA5AB266B82C}">
  <dimension ref="A1:H125"/>
  <sheetViews>
    <sheetView workbookViewId="0">
      <pane ySplit="1" topLeftCell="A2" activePane="bottomLeft" state="frozen"/>
      <selection pane="bottomLeft" activeCell="E125" sqref="E125"/>
    </sheetView>
  </sheetViews>
  <sheetFormatPr baseColWidth="10" defaultRowHeight="16" x14ac:dyDescent="0.2"/>
  <cols>
    <col min="1" max="1" width="7.6640625" bestFit="1" customWidth="1"/>
    <col min="2" max="2" width="35.33203125" bestFit="1" customWidth="1"/>
    <col min="3" max="3" width="12.1640625" bestFit="1" customWidth="1"/>
    <col min="4" max="4" width="11.1640625" bestFit="1" customWidth="1"/>
    <col min="5" max="5" width="12.5" style="3" bestFit="1" customWidth="1"/>
    <col min="6" max="6" width="22.33203125" bestFit="1" customWidth="1"/>
    <col min="7" max="7" width="10.83203125" style="3"/>
    <col min="8" max="8" width="57.66406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s="3" t="s">
        <v>286</v>
      </c>
      <c r="F1" t="s">
        <v>289</v>
      </c>
      <c r="G1" s="3" t="s">
        <v>287</v>
      </c>
      <c r="H1" t="s">
        <v>291</v>
      </c>
    </row>
    <row r="2" spans="1:8" hidden="1" x14ac:dyDescent="0.2">
      <c r="A2" s="1">
        <v>46174</v>
      </c>
      <c r="B2" t="s">
        <v>4</v>
      </c>
      <c r="C2" t="s">
        <v>5</v>
      </c>
      <c r="D2" s="2">
        <v>-10230.18</v>
      </c>
      <c r="E2" s="3">
        <f>_xlfn.XLOOKUP(C2,gl_cash_extract_jun2026!D:D,gl_cash_extract_jun2026!E:E,"Not Found")</f>
        <v>-10230.18</v>
      </c>
      <c r="F2" t="str">
        <f t="shared" ref="F2:F33" si="0">IF(E2="Not Found","Missing from GL",IF(D2=E2,"Matched","Difference"))</f>
        <v>Matched</v>
      </c>
      <c r="G2">
        <f t="shared" ref="G2:G65" si="1">IF(ISNUMBER(E2),ROUND(D2-E2,2),"")</f>
        <v>0</v>
      </c>
    </row>
    <row r="3" spans="1:8" hidden="1" x14ac:dyDescent="0.2">
      <c r="A3" s="1">
        <v>46174</v>
      </c>
      <c r="B3" t="s">
        <v>6</v>
      </c>
      <c r="C3" t="s">
        <v>7</v>
      </c>
      <c r="D3" s="2">
        <v>-8067.99</v>
      </c>
      <c r="E3" s="3">
        <f>_xlfn.XLOOKUP(C3,gl_cash_extract_jun2026!D:D,gl_cash_extract_jun2026!E:E,"Not Found")</f>
        <v>-8067.99</v>
      </c>
      <c r="F3" t="str">
        <f t="shared" si="0"/>
        <v>Matched</v>
      </c>
      <c r="G3">
        <f t="shared" si="1"/>
        <v>0</v>
      </c>
    </row>
    <row r="4" spans="1:8" hidden="1" x14ac:dyDescent="0.2">
      <c r="A4" s="1">
        <v>46174</v>
      </c>
      <c r="B4" t="s">
        <v>8</v>
      </c>
      <c r="C4" t="s">
        <v>9</v>
      </c>
      <c r="D4" s="2">
        <v>88790.68</v>
      </c>
      <c r="E4" s="3">
        <f>_xlfn.XLOOKUP(C4,gl_cash_extract_jun2026!D:D,gl_cash_extract_jun2026!E:E,"Not Found")</f>
        <v>88790.68</v>
      </c>
      <c r="F4" t="str">
        <f t="shared" si="0"/>
        <v>Matched</v>
      </c>
      <c r="G4">
        <f t="shared" si="1"/>
        <v>0</v>
      </c>
    </row>
    <row r="5" spans="1:8" hidden="1" x14ac:dyDescent="0.2">
      <c r="A5" s="1">
        <v>46174</v>
      </c>
      <c r="B5" t="s">
        <v>10</v>
      </c>
      <c r="C5" t="s">
        <v>11</v>
      </c>
      <c r="D5" s="2">
        <v>-12217.56</v>
      </c>
      <c r="E5" s="3">
        <f>_xlfn.XLOOKUP(C5,gl_cash_extract_jun2026!D:D,gl_cash_extract_jun2026!E:E,"Not Found")</f>
        <v>-12217.56</v>
      </c>
      <c r="F5" t="str">
        <f t="shared" si="0"/>
        <v>Matched</v>
      </c>
      <c r="G5">
        <f t="shared" si="1"/>
        <v>0</v>
      </c>
    </row>
    <row r="6" spans="1:8" hidden="1" x14ac:dyDescent="0.2">
      <c r="A6" s="1">
        <v>46175</v>
      </c>
      <c r="B6" t="s">
        <v>12</v>
      </c>
      <c r="C6" t="s">
        <v>13</v>
      </c>
      <c r="D6" s="2">
        <v>-17040.77</v>
      </c>
      <c r="E6" s="3">
        <f>_xlfn.XLOOKUP(C6,gl_cash_extract_jun2026!D:D,gl_cash_extract_jun2026!E:E,"Not Found")</f>
        <v>-17040.77</v>
      </c>
      <c r="F6" t="str">
        <f t="shared" si="0"/>
        <v>Matched</v>
      </c>
      <c r="G6">
        <f t="shared" si="1"/>
        <v>0</v>
      </c>
    </row>
    <row r="7" spans="1:8" hidden="1" x14ac:dyDescent="0.2">
      <c r="A7" s="1">
        <v>46175</v>
      </c>
      <c r="B7" t="s">
        <v>14</v>
      </c>
      <c r="C7" t="s">
        <v>15</v>
      </c>
      <c r="D7" s="2">
        <v>88411.47</v>
      </c>
      <c r="E7" s="3">
        <f>_xlfn.XLOOKUP(C7,gl_cash_extract_jun2026!D:D,gl_cash_extract_jun2026!E:E,"Not Found")</f>
        <v>88411.47</v>
      </c>
      <c r="F7" t="str">
        <f t="shared" si="0"/>
        <v>Matched</v>
      </c>
      <c r="G7">
        <f t="shared" si="1"/>
        <v>0</v>
      </c>
    </row>
    <row r="8" spans="1:8" hidden="1" x14ac:dyDescent="0.2">
      <c r="A8" s="1">
        <v>46175</v>
      </c>
      <c r="B8" t="s">
        <v>16</v>
      </c>
      <c r="C8" t="s">
        <v>17</v>
      </c>
      <c r="D8" s="2">
        <v>-5365.64</v>
      </c>
      <c r="E8" s="3">
        <f>_xlfn.XLOOKUP(C8,gl_cash_extract_jun2026!D:D,gl_cash_extract_jun2026!E:E,"Not Found")</f>
        <v>-5365.64</v>
      </c>
      <c r="F8" t="str">
        <f t="shared" si="0"/>
        <v>Matched</v>
      </c>
      <c r="G8">
        <f t="shared" si="1"/>
        <v>0</v>
      </c>
    </row>
    <row r="9" spans="1:8" hidden="1" x14ac:dyDescent="0.2">
      <c r="A9" s="1">
        <v>46176</v>
      </c>
      <c r="B9" t="s">
        <v>18</v>
      </c>
      <c r="C9" t="s">
        <v>19</v>
      </c>
      <c r="D9" s="2">
        <v>-21094.19</v>
      </c>
      <c r="E9" s="3">
        <f>_xlfn.XLOOKUP(C9,gl_cash_extract_jun2026!D:D,gl_cash_extract_jun2026!E:E,"Not Found")</f>
        <v>-21094.19</v>
      </c>
      <c r="F9" t="str">
        <f t="shared" si="0"/>
        <v>Matched</v>
      </c>
      <c r="G9">
        <f t="shared" si="1"/>
        <v>0</v>
      </c>
    </row>
    <row r="10" spans="1:8" hidden="1" x14ac:dyDescent="0.2">
      <c r="A10" s="1">
        <v>46176</v>
      </c>
      <c r="B10" t="s">
        <v>20</v>
      </c>
      <c r="C10" t="s">
        <v>21</v>
      </c>
      <c r="D10" s="2">
        <v>102367.19</v>
      </c>
      <c r="E10" s="3">
        <f>_xlfn.XLOOKUP(C10,gl_cash_extract_jun2026!D:D,gl_cash_extract_jun2026!E:E,"Not Found")</f>
        <v>102367.19</v>
      </c>
      <c r="F10" t="str">
        <f t="shared" si="0"/>
        <v>Matched</v>
      </c>
      <c r="G10">
        <f t="shared" si="1"/>
        <v>0</v>
      </c>
    </row>
    <row r="11" spans="1:8" hidden="1" x14ac:dyDescent="0.2">
      <c r="A11" s="1">
        <v>46176</v>
      </c>
      <c r="B11" t="s">
        <v>22</v>
      </c>
      <c r="C11" t="s">
        <v>23</v>
      </c>
      <c r="D11" s="2">
        <v>-12316.92</v>
      </c>
      <c r="E11" s="3">
        <f>_xlfn.XLOOKUP(C11,gl_cash_extract_jun2026!D:D,gl_cash_extract_jun2026!E:E,"Not Found")</f>
        <v>-12316.92</v>
      </c>
      <c r="F11" t="str">
        <f t="shared" si="0"/>
        <v>Matched</v>
      </c>
      <c r="G11">
        <f t="shared" si="1"/>
        <v>0</v>
      </c>
    </row>
    <row r="12" spans="1:8" hidden="1" x14ac:dyDescent="0.2">
      <c r="A12" s="1">
        <v>46176</v>
      </c>
      <c r="B12" t="s">
        <v>24</v>
      </c>
      <c r="C12" t="s">
        <v>25</v>
      </c>
      <c r="D12" s="2">
        <v>-20094.18</v>
      </c>
      <c r="E12" s="3">
        <f>_xlfn.XLOOKUP(C12,gl_cash_extract_jun2026!D:D,gl_cash_extract_jun2026!E:E,"Not Found")</f>
        <v>-20094.18</v>
      </c>
      <c r="F12" t="str">
        <f t="shared" si="0"/>
        <v>Matched</v>
      </c>
      <c r="G12">
        <f t="shared" si="1"/>
        <v>0</v>
      </c>
    </row>
    <row r="13" spans="1:8" x14ac:dyDescent="0.2">
      <c r="A13" s="1">
        <v>46177</v>
      </c>
      <c r="B13" t="s">
        <v>26</v>
      </c>
      <c r="C13" t="s">
        <v>27</v>
      </c>
      <c r="D13" s="2">
        <v>-4183.58</v>
      </c>
      <c r="E13" s="3">
        <f>_xlfn.XLOOKUP(C13,gl_cash_extract_jun2026!D:D,gl_cash_extract_jun2026!E:E,"Not Found")</f>
        <v>-4183.67</v>
      </c>
      <c r="F13" t="str">
        <f t="shared" si="0"/>
        <v>Difference</v>
      </c>
      <c r="G13" s="2">
        <f t="shared" si="1"/>
        <v>0.09</v>
      </c>
      <c r="H13" t="s">
        <v>292</v>
      </c>
    </row>
    <row r="14" spans="1:8" hidden="1" x14ac:dyDescent="0.2">
      <c r="A14" s="1">
        <v>46177</v>
      </c>
      <c r="B14" t="s">
        <v>28</v>
      </c>
      <c r="C14" t="s">
        <v>29</v>
      </c>
      <c r="D14" s="2">
        <v>-6479.58</v>
      </c>
      <c r="E14" s="3">
        <f>_xlfn.XLOOKUP(C14,gl_cash_extract_jun2026!D:D,gl_cash_extract_jun2026!E:E,"Not Found")</f>
        <v>-6479.58</v>
      </c>
      <c r="F14" t="str">
        <f t="shared" si="0"/>
        <v>Matched</v>
      </c>
      <c r="G14">
        <f t="shared" si="1"/>
        <v>0</v>
      </c>
    </row>
    <row r="15" spans="1:8" hidden="1" x14ac:dyDescent="0.2">
      <c r="A15" s="1">
        <v>46177</v>
      </c>
      <c r="B15" t="s">
        <v>30</v>
      </c>
      <c r="C15" t="s">
        <v>31</v>
      </c>
      <c r="D15" s="2">
        <v>-12272.98</v>
      </c>
      <c r="E15" s="3">
        <f>_xlfn.XLOOKUP(C15,gl_cash_extract_jun2026!D:D,gl_cash_extract_jun2026!E:E,"Not Found")</f>
        <v>-12272.98</v>
      </c>
      <c r="F15" t="str">
        <f t="shared" si="0"/>
        <v>Matched</v>
      </c>
      <c r="G15">
        <f t="shared" si="1"/>
        <v>0</v>
      </c>
    </row>
    <row r="16" spans="1:8" hidden="1" x14ac:dyDescent="0.2">
      <c r="A16" s="1">
        <v>46177</v>
      </c>
      <c r="B16" t="s">
        <v>32</v>
      </c>
      <c r="C16" t="s">
        <v>33</v>
      </c>
      <c r="D16" s="2">
        <v>-3503.79</v>
      </c>
      <c r="E16" s="3">
        <f>_xlfn.XLOOKUP(C16,gl_cash_extract_jun2026!D:D,gl_cash_extract_jun2026!E:E,"Not Found")</f>
        <v>-3503.79</v>
      </c>
      <c r="F16" t="str">
        <f t="shared" si="0"/>
        <v>Matched</v>
      </c>
      <c r="G16">
        <f t="shared" si="1"/>
        <v>0</v>
      </c>
    </row>
    <row r="17" spans="1:7" hidden="1" x14ac:dyDescent="0.2">
      <c r="A17" s="1">
        <v>46178</v>
      </c>
      <c r="B17" t="s">
        <v>34</v>
      </c>
      <c r="C17" t="s">
        <v>35</v>
      </c>
      <c r="D17" s="2">
        <v>77425.86</v>
      </c>
      <c r="E17" s="3">
        <f>_xlfn.XLOOKUP(C17,gl_cash_extract_jun2026!D:D,gl_cash_extract_jun2026!E:E,"Not Found")</f>
        <v>77425.86</v>
      </c>
      <c r="F17" t="str">
        <f t="shared" si="0"/>
        <v>Matched</v>
      </c>
      <c r="G17">
        <f t="shared" si="1"/>
        <v>0</v>
      </c>
    </row>
    <row r="18" spans="1:7" hidden="1" x14ac:dyDescent="0.2">
      <c r="A18" s="1">
        <v>46178</v>
      </c>
      <c r="B18" t="s">
        <v>36</v>
      </c>
      <c r="C18" t="s">
        <v>37</v>
      </c>
      <c r="D18" s="2">
        <v>-14685.67</v>
      </c>
      <c r="E18" s="3">
        <f>_xlfn.XLOOKUP(C18,gl_cash_extract_jun2026!D:D,gl_cash_extract_jun2026!E:E,"Not Found")</f>
        <v>-14685.67</v>
      </c>
      <c r="F18" t="str">
        <f t="shared" si="0"/>
        <v>Matched</v>
      </c>
      <c r="G18">
        <f t="shared" si="1"/>
        <v>0</v>
      </c>
    </row>
    <row r="19" spans="1:7" hidden="1" x14ac:dyDescent="0.2">
      <c r="A19" s="1">
        <v>46178</v>
      </c>
      <c r="B19" t="s">
        <v>38</v>
      </c>
      <c r="C19" t="s">
        <v>39</v>
      </c>
      <c r="D19" s="2">
        <v>-6506.94</v>
      </c>
      <c r="E19" s="3">
        <f>_xlfn.XLOOKUP(C19,gl_cash_extract_jun2026!D:D,gl_cash_extract_jun2026!E:E,"Not Found")</f>
        <v>-6506.94</v>
      </c>
      <c r="F19" t="str">
        <f t="shared" si="0"/>
        <v>Matched</v>
      </c>
      <c r="G19">
        <f t="shared" si="1"/>
        <v>0</v>
      </c>
    </row>
    <row r="20" spans="1:7" hidden="1" x14ac:dyDescent="0.2">
      <c r="A20" s="1">
        <v>46181</v>
      </c>
      <c r="B20" t="s">
        <v>40</v>
      </c>
      <c r="C20" t="s">
        <v>41</v>
      </c>
      <c r="D20" s="2">
        <v>-3062.32</v>
      </c>
      <c r="E20" s="3">
        <f>_xlfn.XLOOKUP(C20,gl_cash_extract_jun2026!D:D,gl_cash_extract_jun2026!E:E,"Not Found")</f>
        <v>-3062.32</v>
      </c>
      <c r="F20" t="str">
        <f t="shared" si="0"/>
        <v>Matched</v>
      </c>
      <c r="G20">
        <f t="shared" si="1"/>
        <v>0</v>
      </c>
    </row>
    <row r="21" spans="1:7" hidden="1" x14ac:dyDescent="0.2">
      <c r="A21" s="1">
        <v>46181</v>
      </c>
      <c r="B21" t="s">
        <v>42</v>
      </c>
      <c r="C21" t="s">
        <v>43</v>
      </c>
      <c r="D21" s="2">
        <v>-19414.580000000002</v>
      </c>
      <c r="E21" s="3">
        <f>_xlfn.XLOOKUP(C21,gl_cash_extract_jun2026!D:D,gl_cash_extract_jun2026!E:E,"Not Found")</f>
        <v>-19414.580000000002</v>
      </c>
      <c r="F21" t="str">
        <f t="shared" si="0"/>
        <v>Matched</v>
      </c>
      <c r="G21">
        <f t="shared" si="1"/>
        <v>0</v>
      </c>
    </row>
    <row r="22" spans="1:7" hidden="1" x14ac:dyDescent="0.2">
      <c r="A22" s="1">
        <v>46181</v>
      </c>
      <c r="B22" t="s">
        <v>44</v>
      </c>
      <c r="C22" t="s">
        <v>45</v>
      </c>
      <c r="D22" s="2">
        <v>-2088.2600000000002</v>
      </c>
      <c r="E22" s="3">
        <f>_xlfn.XLOOKUP(C22,gl_cash_extract_jun2026!D:D,gl_cash_extract_jun2026!E:E,"Not Found")</f>
        <v>-2088.2600000000002</v>
      </c>
      <c r="F22" t="str">
        <f t="shared" si="0"/>
        <v>Matched</v>
      </c>
      <c r="G22">
        <f t="shared" si="1"/>
        <v>0</v>
      </c>
    </row>
    <row r="23" spans="1:7" hidden="1" x14ac:dyDescent="0.2">
      <c r="A23" s="1">
        <v>46181</v>
      </c>
      <c r="B23" t="s">
        <v>46</v>
      </c>
      <c r="C23" t="s">
        <v>47</v>
      </c>
      <c r="D23" s="2">
        <v>-20631.689999999999</v>
      </c>
      <c r="E23" s="3">
        <f>_xlfn.XLOOKUP(C23,gl_cash_extract_jun2026!D:D,gl_cash_extract_jun2026!E:E,"Not Found")</f>
        <v>-20631.689999999999</v>
      </c>
      <c r="F23" t="str">
        <f t="shared" si="0"/>
        <v>Matched</v>
      </c>
      <c r="G23">
        <f t="shared" si="1"/>
        <v>0</v>
      </c>
    </row>
    <row r="24" spans="1:7" hidden="1" x14ac:dyDescent="0.2">
      <c r="A24" s="1">
        <v>46181</v>
      </c>
      <c r="B24" t="s">
        <v>48</v>
      </c>
      <c r="C24" t="s">
        <v>49</v>
      </c>
      <c r="D24" s="2">
        <v>109123.56</v>
      </c>
      <c r="E24" s="3">
        <f>_xlfn.XLOOKUP(C24,gl_cash_extract_jun2026!D:D,gl_cash_extract_jun2026!E:E,"Not Found")</f>
        <v>109123.56</v>
      </c>
      <c r="F24" t="str">
        <f t="shared" si="0"/>
        <v>Matched</v>
      </c>
      <c r="G24">
        <f t="shared" si="1"/>
        <v>0</v>
      </c>
    </row>
    <row r="25" spans="1:7" hidden="1" x14ac:dyDescent="0.2">
      <c r="A25" s="1">
        <v>46181</v>
      </c>
      <c r="B25" t="s">
        <v>50</v>
      </c>
      <c r="C25" t="s">
        <v>51</v>
      </c>
      <c r="D25" s="2">
        <v>104277.78</v>
      </c>
      <c r="E25" s="3">
        <f>_xlfn.XLOOKUP(C25,gl_cash_extract_jun2026!D:D,gl_cash_extract_jun2026!E:E,"Not Found")</f>
        <v>104277.78</v>
      </c>
      <c r="F25" t="str">
        <f t="shared" si="0"/>
        <v>Matched</v>
      </c>
      <c r="G25">
        <f t="shared" si="1"/>
        <v>0</v>
      </c>
    </row>
    <row r="26" spans="1:7" hidden="1" x14ac:dyDescent="0.2">
      <c r="A26" s="1">
        <v>46181</v>
      </c>
      <c r="B26" t="s">
        <v>52</v>
      </c>
      <c r="C26" t="s">
        <v>53</v>
      </c>
      <c r="D26" s="2">
        <v>-14193.51</v>
      </c>
      <c r="E26" s="3">
        <f>_xlfn.XLOOKUP(C26,gl_cash_extract_jun2026!D:D,gl_cash_extract_jun2026!E:E,"Not Found")</f>
        <v>-14193.51</v>
      </c>
      <c r="F26" t="str">
        <f t="shared" si="0"/>
        <v>Matched</v>
      </c>
      <c r="G26">
        <f t="shared" si="1"/>
        <v>0</v>
      </c>
    </row>
    <row r="27" spans="1:7" hidden="1" x14ac:dyDescent="0.2">
      <c r="A27" s="1">
        <v>46181</v>
      </c>
      <c r="B27" t="s">
        <v>54</v>
      </c>
      <c r="C27" t="s">
        <v>55</v>
      </c>
      <c r="D27" s="2">
        <v>-16263.56</v>
      </c>
      <c r="E27" s="3">
        <f>_xlfn.XLOOKUP(C27,gl_cash_extract_jun2026!D:D,gl_cash_extract_jun2026!E:E,"Not Found")</f>
        <v>-16263.56</v>
      </c>
      <c r="F27" t="str">
        <f t="shared" si="0"/>
        <v>Matched</v>
      </c>
      <c r="G27">
        <f t="shared" si="1"/>
        <v>0</v>
      </c>
    </row>
    <row r="28" spans="1:7" hidden="1" x14ac:dyDescent="0.2">
      <c r="A28" s="1">
        <v>46181</v>
      </c>
      <c r="B28" t="s">
        <v>56</v>
      </c>
      <c r="C28" t="s">
        <v>57</v>
      </c>
      <c r="D28" s="2">
        <v>-23647.98</v>
      </c>
      <c r="E28" s="3">
        <f>_xlfn.XLOOKUP(C28,gl_cash_extract_jun2026!D:D,gl_cash_extract_jun2026!E:E,"Not Found")</f>
        <v>-23647.98</v>
      </c>
      <c r="F28" t="str">
        <f t="shared" si="0"/>
        <v>Matched</v>
      </c>
      <c r="G28">
        <f t="shared" si="1"/>
        <v>0</v>
      </c>
    </row>
    <row r="29" spans="1:7" hidden="1" x14ac:dyDescent="0.2">
      <c r="A29" s="1">
        <v>46181</v>
      </c>
      <c r="B29" t="s">
        <v>58</v>
      </c>
      <c r="C29" t="s">
        <v>59</v>
      </c>
      <c r="D29" s="2">
        <v>-13386.11</v>
      </c>
      <c r="E29" s="3">
        <f>_xlfn.XLOOKUP(C29,gl_cash_extract_jun2026!D:D,gl_cash_extract_jun2026!E:E,"Not Found")</f>
        <v>-13386.11</v>
      </c>
      <c r="F29" t="str">
        <f t="shared" si="0"/>
        <v>Matched</v>
      </c>
      <c r="G29">
        <f t="shared" si="1"/>
        <v>0</v>
      </c>
    </row>
    <row r="30" spans="1:7" hidden="1" x14ac:dyDescent="0.2">
      <c r="A30" s="1">
        <v>46181</v>
      </c>
      <c r="B30" t="s">
        <v>60</v>
      </c>
      <c r="C30" t="s">
        <v>61</v>
      </c>
      <c r="D30" s="2">
        <v>-5184.0200000000004</v>
      </c>
      <c r="E30" s="3">
        <f>_xlfn.XLOOKUP(C30,gl_cash_extract_jun2026!D:D,gl_cash_extract_jun2026!E:E,"Not Found")</f>
        <v>-5184.0200000000004</v>
      </c>
      <c r="F30" t="str">
        <f t="shared" si="0"/>
        <v>Matched</v>
      </c>
      <c r="G30">
        <f t="shared" si="1"/>
        <v>0</v>
      </c>
    </row>
    <row r="31" spans="1:7" hidden="1" x14ac:dyDescent="0.2">
      <c r="A31" s="1">
        <v>46181</v>
      </c>
      <c r="B31" t="s">
        <v>62</v>
      </c>
      <c r="C31" t="s">
        <v>63</v>
      </c>
      <c r="D31" s="2">
        <v>-6891.43</v>
      </c>
      <c r="E31" s="3">
        <f>_xlfn.XLOOKUP(C31,gl_cash_extract_jun2026!D:D,gl_cash_extract_jun2026!E:E,"Not Found")</f>
        <v>-6891.43</v>
      </c>
      <c r="F31" t="str">
        <f t="shared" si="0"/>
        <v>Matched</v>
      </c>
      <c r="G31">
        <f t="shared" si="1"/>
        <v>0</v>
      </c>
    </row>
    <row r="32" spans="1:7" hidden="1" x14ac:dyDescent="0.2">
      <c r="A32" s="1">
        <v>46181</v>
      </c>
      <c r="B32" t="s">
        <v>64</v>
      </c>
      <c r="C32" t="s">
        <v>65</v>
      </c>
      <c r="D32" s="2">
        <v>-6102.99</v>
      </c>
      <c r="E32" s="3">
        <f>_xlfn.XLOOKUP(C32,gl_cash_extract_jun2026!D:D,gl_cash_extract_jun2026!E:E,"Not Found")</f>
        <v>-6102.99</v>
      </c>
      <c r="F32" t="str">
        <f t="shared" si="0"/>
        <v>Matched</v>
      </c>
      <c r="G32">
        <f t="shared" si="1"/>
        <v>0</v>
      </c>
    </row>
    <row r="33" spans="1:8" hidden="1" x14ac:dyDescent="0.2">
      <c r="A33" s="1">
        <v>46181</v>
      </c>
      <c r="B33" t="s">
        <v>66</v>
      </c>
      <c r="C33" t="s">
        <v>67</v>
      </c>
      <c r="D33" s="2">
        <v>-21676.19</v>
      </c>
      <c r="E33" s="3">
        <f>_xlfn.XLOOKUP(C33,gl_cash_extract_jun2026!D:D,gl_cash_extract_jun2026!E:E,"Not Found")</f>
        <v>-21676.19</v>
      </c>
      <c r="F33" t="str">
        <f t="shared" si="0"/>
        <v>Matched</v>
      </c>
      <c r="G33">
        <f t="shared" si="1"/>
        <v>0</v>
      </c>
    </row>
    <row r="34" spans="1:8" hidden="1" x14ac:dyDescent="0.2">
      <c r="A34" s="1">
        <v>46182</v>
      </c>
      <c r="B34" t="s">
        <v>68</v>
      </c>
      <c r="C34" t="s">
        <v>69</v>
      </c>
      <c r="D34" s="2">
        <v>-5257.34</v>
      </c>
      <c r="E34" s="3">
        <f>_xlfn.XLOOKUP(C34,gl_cash_extract_jun2026!D:D,gl_cash_extract_jun2026!E:E,"Not Found")</f>
        <v>-5257.34</v>
      </c>
      <c r="F34" t="str">
        <f t="shared" ref="F34:F65" si="2">IF(E34="Not Found","Missing from GL",IF(D34=E34,"Matched","Difference"))</f>
        <v>Matched</v>
      </c>
      <c r="G34">
        <f t="shared" si="1"/>
        <v>0</v>
      </c>
    </row>
    <row r="35" spans="1:8" hidden="1" x14ac:dyDescent="0.2">
      <c r="A35" s="1">
        <v>46182</v>
      </c>
      <c r="B35" t="s">
        <v>70</v>
      </c>
      <c r="C35" t="s">
        <v>71</v>
      </c>
      <c r="D35" s="2">
        <v>-15288.66</v>
      </c>
      <c r="E35" s="3">
        <f>_xlfn.XLOOKUP(C35,gl_cash_extract_jun2026!D:D,gl_cash_extract_jun2026!E:E,"Not Found")</f>
        <v>-15288.66</v>
      </c>
      <c r="F35" t="str">
        <f t="shared" si="2"/>
        <v>Matched</v>
      </c>
      <c r="G35">
        <f t="shared" si="1"/>
        <v>0</v>
      </c>
    </row>
    <row r="36" spans="1:8" hidden="1" x14ac:dyDescent="0.2">
      <c r="A36" s="1">
        <v>46182</v>
      </c>
      <c r="B36" t="s">
        <v>72</v>
      </c>
      <c r="C36" t="s">
        <v>73</v>
      </c>
      <c r="D36" s="2">
        <v>-4433.49</v>
      </c>
      <c r="E36" s="3">
        <f>_xlfn.XLOOKUP(C36,gl_cash_extract_jun2026!D:D,gl_cash_extract_jun2026!E:E,"Not Found")</f>
        <v>-4433.49</v>
      </c>
      <c r="F36" t="str">
        <f t="shared" si="2"/>
        <v>Matched</v>
      </c>
      <c r="G36">
        <f t="shared" si="1"/>
        <v>0</v>
      </c>
    </row>
    <row r="37" spans="1:8" hidden="1" x14ac:dyDescent="0.2">
      <c r="A37" s="1">
        <v>46182</v>
      </c>
      <c r="B37" t="s">
        <v>74</v>
      </c>
      <c r="C37" t="s">
        <v>75</v>
      </c>
      <c r="D37" s="2">
        <v>-14595.51</v>
      </c>
      <c r="E37" s="3">
        <f>_xlfn.XLOOKUP(C37,gl_cash_extract_jun2026!D:D,gl_cash_extract_jun2026!E:E,"Not Found")</f>
        <v>-14595.51</v>
      </c>
      <c r="F37" t="str">
        <f t="shared" si="2"/>
        <v>Matched</v>
      </c>
      <c r="G37">
        <f t="shared" si="1"/>
        <v>0</v>
      </c>
    </row>
    <row r="38" spans="1:8" hidden="1" x14ac:dyDescent="0.2">
      <c r="A38" s="1">
        <v>46182</v>
      </c>
      <c r="B38" t="s">
        <v>76</v>
      </c>
      <c r="C38" t="s">
        <v>77</v>
      </c>
      <c r="D38" s="2">
        <v>-16110.81</v>
      </c>
      <c r="E38" s="3">
        <f>_xlfn.XLOOKUP(C38,gl_cash_extract_jun2026!D:D,gl_cash_extract_jun2026!E:E,"Not Found")</f>
        <v>-16110.81</v>
      </c>
      <c r="F38" t="str">
        <f t="shared" si="2"/>
        <v>Matched</v>
      </c>
      <c r="G38">
        <f t="shared" si="1"/>
        <v>0</v>
      </c>
    </row>
    <row r="39" spans="1:8" hidden="1" x14ac:dyDescent="0.2">
      <c r="A39" s="1">
        <v>46182</v>
      </c>
      <c r="B39" t="s">
        <v>78</v>
      </c>
      <c r="C39" t="s">
        <v>79</v>
      </c>
      <c r="D39" s="2">
        <v>70486.820000000007</v>
      </c>
      <c r="E39" s="3">
        <f>_xlfn.XLOOKUP(C39,gl_cash_extract_jun2026!D:D,gl_cash_extract_jun2026!E:E,"Not Found")</f>
        <v>70486.820000000007</v>
      </c>
      <c r="F39" t="str">
        <f t="shared" si="2"/>
        <v>Matched</v>
      </c>
      <c r="G39">
        <f t="shared" si="1"/>
        <v>0</v>
      </c>
    </row>
    <row r="40" spans="1:8" hidden="1" x14ac:dyDescent="0.2">
      <c r="A40" s="1">
        <v>46182</v>
      </c>
      <c r="B40" t="s">
        <v>80</v>
      </c>
      <c r="C40" t="s">
        <v>81</v>
      </c>
      <c r="D40" s="2">
        <v>27250.97</v>
      </c>
      <c r="E40" s="3">
        <f>_xlfn.XLOOKUP(C40,gl_cash_extract_jun2026!D:D,gl_cash_extract_jun2026!E:E,"Not Found")</f>
        <v>27250.97</v>
      </c>
      <c r="F40" t="str">
        <f t="shared" si="2"/>
        <v>Matched</v>
      </c>
      <c r="G40">
        <f t="shared" si="1"/>
        <v>0</v>
      </c>
    </row>
    <row r="41" spans="1:8" hidden="1" x14ac:dyDescent="0.2">
      <c r="A41" s="1">
        <v>46182</v>
      </c>
      <c r="B41" t="s">
        <v>82</v>
      </c>
      <c r="C41" t="s">
        <v>83</v>
      </c>
      <c r="D41" s="2">
        <v>-5170.46</v>
      </c>
      <c r="E41" s="3">
        <f>_xlfn.XLOOKUP(C41,gl_cash_extract_jun2026!D:D,gl_cash_extract_jun2026!E:E,"Not Found")</f>
        <v>-5170.46</v>
      </c>
      <c r="F41" t="str">
        <f t="shared" si="2"/>
        <v>Matched</v>
      </c>
      <c r="G41">
        <f t="shared" si="1"/>
        <v>0</v>
      </c>
    </row>
    <row r="42" spans="1:8" hidden="1" x14ac:dyDescent="0.2">
      <c r="A42" s="1">
        <v>46182</v>
      </c>
      <c r="B42" t="s">
        <v>84</v>
      </c>
      <c r="C42" t="s">
        <v>85</v>
      </c>
      <c r="D42" s="2">
        <v>-10880.16</v>
      </c>
      <c r="E42" s="3">
        <f>_xlfn.XLOOKUP(C42,gl_cash_extract_jun2026!D:D,gl_cash_extract_jun2026!E:E,"Not Found")</f>
        <v>-10880.16</v>
      </c>
      <c r="F42" t="str">
        <f t="shared" si="2"/>
        <v>Matched</v>
      </c>
      <c r="G42">
        <f t="shared" si="1"/>
        <v>0</v>
      </c>
    </row>
    <row r="43" spans="1:8" x14ac:dyDescent="0.2">
      <c r="A43" s="1">
        <v>46183</v>
      </c>
      <c r="B43" t="s">
        <v>86</v>
      </c>
      <c r="C43" t="s">
        <v>87</v>
      </c>
      <c r="D43" s="2">
        <v>-743.6</v>
      </c>
      <c r="E43" s="3">
        <f>_xlfn.XLOOKUP(C43,gl_cash_extract_jun2026!D:D,gl_cash_extract_jun2026!E:E,"Not Found")</f>
        <v>-743.29</v>
      </c>
      <c r="F43" t="str">
        <f t="shared" si="2"/>
        <v>Difference</v>
      </c>
      <c r="G43" s="2">
        <f t="shared" si="1"/>
        <v>-0.31</v>
      </c>
      <c r="H43" t="s">
        <v>293</v>
      </c>
    </row>
    <row r="44" spans="1:8" hidden="1" x14ac:dyDescent="0.2">
      <c r="A44" s="1">
        <v>46184</v>
      </c>
      <c r="B44" t="s">
        <v>88</v>
      </c>
      <c r="C44" t="s">
        <v>89</v>
      </c>
      <c r="D44" s="2">
        <v>-21055.08</v>
      </c>
      <c r="E44" s="3">
        <f>_xlfn.XLOOKUP(C44,gl_cash_extract_jun2026!D:D,gl_cash_extract_jun2026!E:E,"Not Found")</f>
        <v>-21055.08</v>
      </c>
      <c r="F44" t="str">
        <f t="shared" si="2"/>
        <v>Matched</v>
      </c>
      <c r="G44">
        <f t="shared" si="1"/>
        <v>0</v>
      </c>
    </row>
    <row r="45" spans="1:8" hidden="1" x14ac:dyDescent="0.2">
      <c r="A45" s="1">
        <v>46184</v>
      </c>
      <c r="B45" t="s">
        <v>90</v>
      </c>
      <c r="C45" t="s">
        <v>91</v>
      </c>
      <c r="D45" s="2">
        <v>-9101.0400000000009</v>
      </c>
      <c r="E45" s="3">
        <f>_xlfn.XLOOKUP(C45,gl_cash_extract_jun2026!D:D,gl_cash_extract_jun2026!E:E,"Not Found")</f>
        <v>-9101.0400000000009</v>
      </c>
      <c r="F45" t="str">
        <f t="shared" si="2"/>
        <v>Matched</v>
      </c>
      <c r="G45">
        <f t="shared" si="1"/>
        <v>0</v>
      </c>
    </row>
    <row r="46" spans="1:8" hidden="1" x14ac:dyDescent="0.2">
      <c r="A46" s="1">
        <v>46184</v>
      </c>
      <c r="B46" t="s">
        <v>92</v>
      </c>
      <c r="C46" t="s">
        <v>93</v>
      </c>
      <c r="D46" s="2">
        <v>41142.46</v>
      </c>
      <c r="E46" s="3">
        <f>_xlfn.XLOOKUP(C46,gl_cash_extract_jun2026!D:D,gl_cash_extract_jun2026!E:E,"Not Found")</f>
        <v>41142.46</v>
      </c>
      <c r="F46" t="str">
        <f t="shared" si="2"/>
        <v>Matched</v>
      </c>
      <c r="G46">
        <f t="shared" si="1"/>
        <v>0</v>
      </c>
    </row>
    <row r="47" spans="1:8" hidden="1" x14ac:dyDescent="0.2">
      <c r="A47" s="1">
        <v>46184</v>
      </c>
      <c r="B47" t="s">
        <v>94</v>
      </c>
      <c r="C47" t="s">
        <v>95</v>
      </c>
      <c r="D47" s="2">
        <v>87832.55</v>
      </c>
      <c r="E47" s="3">
        <f>_xlfn.XLOOKUP(C47,gl_cash_extract_jun2026!D:D,gl_cash_extract_jun2026!E:E,"Not Found")</f>
        <v>87832.55</v>
      </c>
      <c r="F47" t="str">
        <f t="shared" si="2"/>
        <v>Matched</v>
      </c>
      <c r="G47">
        <f t="shared" si="1"/>
        <v>0</v>
      </c>
    </row>
    <row r="48" spans="1:8" hidden="1" x14ac:dyDescent="0.2">
      <c r="A48" s="1">
        <v>46184</v>
      </c>
      <c r="B48" t="s">
        <v>96</v>
      </c>
      <c r="C48" t="s">
        <v>97</v>
      </c>
      <c r="D48" s="2">
        <v>-22782.19</v>
      </c>
      <c r="E48" s="3">
        <f>_xlfn.XLOOKUP(C48,gl_cash_extract_jun2026!D:D,gl_cash_extract_jun2026!E:E,"Not Found")</f>
        <v>-22782.19</v>
      </c>
      <c r="F48" t="str">
        <f t="shared" si="2"/>
        <v>Matched</v>
      </c>
      <c r="G48">
        <f t="shared" si="1"/>
        <v>0</v>
      </c>
    </row>
    <row r="49" spans="1:7" hidden="1" x14ac:dyDescent="0.2">
      <c r="A49" s="1">
        <v>46185</v>
      </c>
      <c r="B49" t="s">
        <v>98</v>
      </c>
      <c r="C49" t="s">
        <v>99</v>
      </c>
      <c r="D49" s="2">
        <v>-10980.23</v>
      </c>
      <c r="E49" s="3">
        <f>_xlfn.XLOOKUP(C49,gl_cash_extract_jun2026!D:D,gl_cash_extract_jun2026!E:E,"Not Found")</f>
        <v>-10980.23</v>
      </c>
      <c r="F49" t="str">
        <f t="shared" si="2"/>
        <v>Matched</v>
      </c>
      <c r="G49">
        <f t="shared" si="1"/>
        <v>0</v>
      </c>
    </row>
    <row r="50" spans="1:7" hidden="1" x14ac:dyDescent="0.2">
      <c r="A50" s="1">
        <v>46185</v>
      </c>
      <c r="B50" t="s">
        <v>100</v>
      </c>
      <c r="C50" t="s">
        <v>101</v>
      </c>
      <c r="D50" s="2">
        <v>-8175.43</v>
      </c>
      <c r="E50" s="3">
        <f>_xlfn.XLOOKUP(C50,gl_cash_extract_jun2026!D:D,gl_cash_extract_jun2026!E:E,"Not Found")</f>
        <v>-8175.43</v>
      </c>
      <c r="F50" t="str">
        <f t="shared" si="2"/>
        <v>Matched</v>
      </c>
      <c r="G50">
        <f t="shared" si="1"/>
        <v>0</v>
      </c>
    </row>
    <row r="51" spans="1:7" hidden="1" x14ac:dyDescent="0.2">
      <c r="A51" s="1">
        <v>46185</v>
      </c>
      <c r="B51" t="s">
        <v>102</v>
      </c>
      <c r="C51" t="s">
        <v>103</v>
      </c>
      <c r="D51" s="2">
        <v>-14804.25</v>
      </c>
      <c r="E51" s="3">
        <f>_xlfn.XLOOKUP(C51,gl_cash_extract_jun2026!D:D,gl_cash_extract_jun2026!E:E,"Not Found")</f>
        <v>-14804.25</v>
      </c>
      <c r="F51" t="str">
        <f t="shared" si="2"/>
        <v>Matched</v>
      </c>
      <c r="G51">
        <f t="shared" si="1"/>
        <v>0</v>
      </c>
    </row>
    <row r="52" spans="1:7" hidden="1" x14ac:dyDescent="0.2">
      <c r="A52" s="1">
        <v>46185</v>
      </c>
      <c r="B52" t="s">
        <v>104</v>
      </c>
      <c r="C52" t="s">
        <v>105</v>
      </c>
      <c r="D52" s="2">
        <v>-1176.3599999999999</v>
      </c>
      <c r="E52" s="3">
        <f>_xlfn.XLOOKUP(C52,gl_cash_extract_jun2026!D:D,gl_cash_extract_jun2026!E:E,"Not Found")</f>
        <v>-1176.3599999999999</v>
      </c>
      <c r="F52" t="str">
        <f t="shared" si="2"/>
        <v>Matched</v>
      </c>
      <c r="G52">
        <f t="shared" si="1"/>
        <v>0</v>
      </c>
    </row>
    <row r="53" spans="1:7" hidden="1" x14ac:dyDescent="0.2">
      <c r="A53" s="1">
        <v>46185</v>
      </c>
      <c r="B53" t="s">
        <v>106</v>
      </c>
      <c r="C53" t="s">
        <v>107</v>
      </c>
      <c r="D53" s="2">
        <v>-16179.58</v>
      </c>
      <c r="E53" s="3">
        <f>_xlfn.XLOOKUP(C53,gl_cash_extract_jun2026!D:D,gl_cash_extract_jun2026!E:E,"Not Found")</f>
        <v>-16179.58</v>
      </c>
      <c r="F53" t="str">
        <f t="shared" si="2"/>
        <v>Matched</v>
      </c>
      <c r="G53">
        <f t="shared" si="1"/>
        <v>0</v>
      </c>
    </row>
    <row r="54" spans="1:7" hidden="1" x14ac:dyDescent="0.2">
      <c r="A54" s="1">
        <v>46185</v>
      </c>
      <c r="B54" t="s">
        <v>108</v>
      </c>
      <c r="C54" t="s">
        <v>109</v>
      </c>
      <c r="D54" s="2">
        <v>-2483.7800000000002</v>
      </c>
      <c r="E54" s="3">
        <f>_xlfn.XLOOKUP(C54,gl_cash_extract_jun2026!D:D,gl_cash_extract_jun2026!E:E,"Not Found")</f>
        <v>-2483.7800000000002</v>
      </c>
      <c r="F54" t="str">
        <f t="shared" si="2"/>
        <v>Matched</v>
      </c>
      <c r="G54">
        <f t="shared" si="1"/>
        <v>0</v>
      </c>
    </row>
    <row r="55" spans="1:7" hidden="1" x14ac:dyDescent="0.2">
      <c r="A55" s="1">
        <v>46188</v>
      </c>
      <c r="B55" t="s">
        <v>110</v>
      </c>
      <c r="C55" t="s">
        <v>111</v>
      </c>
      <c r="D55" s="2">
        <v>-12952.95</v>
      </c>
      <c r="E55" s="3">
        <f>_xlfn.XLOOKUP(C55,gl_cash_extract_jun2026!D:D,gl_cash_extract_jun2026!E:E,"Not Found")</f>
        <v>-12952.95</v>
      </c>
      <c r="F55" t="str">
        <f t="shared" si="2"/>
        <v>Matched</v>
      </c>
      <c r="G55">
        <f t="shared" si="1"/>
        <v>0</v>
      </c>
    </row>
    <row r="56" spans="1:7" hidden="1" x14ac:dyDescent="0.2">
      <c r="A56" s="1">
        <v>46188</v>
      </c>
      <c r="B56" t="s">
        <v>112</v>
      </c>
      <c r="C56" t="s">
        <v>113</v>
      </c>
      <c r="D56" s="2">
        <v>-2837.17</v>
      </c>
      <c r="E56" s="3">
        <f>_xlfn.XLOOKUP(C56,gl_cash_extract_jun2026!D:D,gl_cash_extract_jun2026!E:E,"Not Found")</f>
        <v>-2837.17</v>
      </c>
      <c r="F56" t="str">
        <f t="shared" si="2"/>
        <v>Matched</v>
      </c>
      <c r="G56">
        <f t="shared" si="1"/>
        <v>0</v>
      </c>
    </row>
    <row r="57" spans="1:7" hidden="1" x14ac:dyDescent="0.2">
      <c r="A57" s="1">
        <v>46188</v>
      </c>
      <c r="B57" t="s">
        <v>114</v>
      </c>
      <c r="C57" t="s">
        <v>115</v>
      </c>
      <c r="D57" s="2">
        <v>-4550.6899999999996</v>
      </c>
      <c r="E57" s="3">
        <f>_xlfn.XLOOKUP(C57,gl_cash_extract_jun2026!D:D,gl_cash_extract_jun2026!E:E,"Not Found")</f>
        <v>-4550.6899999999996</v>
      </c>
      <c r="F57" t="str">
        <f t="shared" si="2"/>
        <v>Matched</v>
      </c>
      <c r="G57">
        <f t="shared" si="1"/>
        <v>0</v>
      </c>
    </row>
    <row r="58" spans="1:7" hidden="1" x14ac:dyDescent="0.2">
      <c r="A58" s="1">
        <v>46188</v>
      </c>
      <c r="B58" t="s">
        <v>116</v>
      </c>
      <c r="C58" t="s">
        <v>117</v>
      </c>
      <c r="D58" s="2">
        <v>-11233.06</v>
      </c>
      <c r="E58" s="3">
        <f>_xlfn.XLOOKUP(C58,gl_cash_extract_jun2026!D:D,gl_cash_extract_jun2026!E:E,"Not Found")</f>
        <v>-11233.06</v>
      </c>
      <c r="F58" t="str">
        <f t="shared" si="2"/>
        <v>Matched</v>
      </c>
      <c r="G58">
        <f t="shared" si="1"/>
        <v>0</v>
      </c>
    </row>
    <row r="59" spans="1:7" hidden="1" x14ac:dyDescent="0.2">
      <c r="A59" s="1">
        <v>46188</v>
      </c>
      <c r="B59" t="s">
        <v>118</v>
      </c>
      <c r="C59" t="s">
        <v>119</v>
      </c>
      <c r="D59" s="2">
        <v>-15073.56</v>
      </c>
      <c r="E59" s="3">
        <f>_xlfn.XLOOKUP(C59,gl_cash_extract_jun2026!D:D,gl_cash_extract_jun2026!E:E,"Not Found")</f>
        <v>-15073.56</v>
      </c>
      <c r="F59" t="str">
        <f t="shared" si="2"/>
        <v>Matched</v>
      </c>
      <c r="G59">
        <f t="shared" si="1"/>
        <v>0</v>
      </c>
    </row>
    <row r="60" spans="1:7" hidden="1" x14ac:dyDescent="0.2">
      <c r="A60" s="1">
        <v>46188</v>
      </c>
      <c r="B60" t="s">
        <v>120</v>
      </c>
      <c r="C60" t="s">
        <v>121</v>
      </c>
      <c r="D60" s="2">
        <v>-11995.77</v>
      </c>
      <c r="E60" s="3">
        <f>_xlfn.XLOOKUP(C60,gl_cash_extract_jun2026!D:D,gl_cash_extract_jun2026!E:E,"Not Found")</f>
        <v>-11995.77</v>
      </c>
      <c r="F60" t="str">
        <f t="shared" si="2"/>
        <v>Matched</v>
      </c>
      <c r="G60">
        <f t="shared" si="1"/>
        <v>0</v>
      </c>
    </row>
    <row r="61" spans="1:7" hidden="1" x14ac:dyDescent="0.2">
      <c r="A61" s="1">
        <v>46188</v>
      </c>
      <c r="B61" t="s">
        <v>122</v>
      </c>
      <c r="C61" t="s">
        <v>123</v>
      </c>
      <c r="D61" s="2">
        <v>-15901.99</v>
      </c>
      <c r="E61" s="3">
        <f>_xlfn.XLOOKUP(C61,gl_cash_extract_jun2026!D:D,gl_cash_extract_jun2026!E:E,"Not Found")</f>
        <v>-15901.99</v>
      </c>
      <c r="F61" t="str">
        <f t="shared" si="2"/>
        <v>Matched</v>
      </c>
      <c r="G61">
        <f t="shared" si="1"/>
        <v>0</v>
      </c>
    </row>
    <row r="62" spans="1:7" hidden="1" x14ac:dyDescent="0.2">
      <c r="A62" s="1">
        <v>46188</v>
      </c>
      <c r="B62" t="s">
        <v>124</v>
      </c>
      <c r="C62" t="s">
        <v>125</v>
      </c>
      <c r="D62" s="2">
        <v>-19356.189999999999</v>
      </c>
      <c r="E62" s="3">
        <f>_xlfn.XLOOKUP(C62,gl_cash_extract_jun2026!D:D,gl_cash_extract_jun2026!E:E,"Not Found")</f>
        <v>-19356.189999999999</v>
      </c>
      <c r="F62" t="str">
        <f t="shared" si="2"/>
        <v>Matched</v>
      </c>
      <c r="G62">
        <f t="shared" si="1"/>
        <v>0</v>
      </c>
    </row>
    <row r="63" spans="1:7" hidden="1" x14ac:dyDescent="0.2">
      <c r="A63" s="1">
        <v>46188</v>
      </c>
      <c r="B63" t="s">
        <v>126</v>
      </c>
      <c r="C63" t="s">
        <v>127</v>
      </c>
      <c r="D63" s="2">
        <v>-13321.03</v>
      </c>
      <c r="E63" s="3">
        <f>_xlfn.XLOOKUP(C63,gl_cash_extract_jun2026!D:D,gl_cash_extract_jun2026!E:E,"Not Found")</f>
        <v>-13321.03</v>
      </c>
      <c r="F63" t="str">
        <f t="shared" si="2"/>
        <v>Matched</v>
      </c>
      <c r="G63">
        <f t="shared" si="1"/>
        <v>0</v>
      </c>
    </row>
    <row r="64" spans="1:7" hidden="1" x14ac:dyDescent="0.2">
      <c r="A64" s="1">
        <v>46188</v>
      </c>
      <c r="B64" t="s">
        <v>128</v>
      </c>
      <c r="C64" t="s">
        <v>129</v>
      </c>
      <c r="D64" s="2">
        <v>-21240.09</v>
      </c>
      <c r="E64" s="3">
        <f>_xlfn.XLOOKUP(C64,gl_cash_extract_jun2026!D:D,gl_cash_extract_jun2026!E:E,"Not Found")</f>
        <v>-21240.09</v>
      </c>
      <c r="F64" t="str">
        <f t="shared" si="2"/>
        <v>Matched</v>
      </c>
      <c r="G64">
        <f t="shared" si="1"/>
        <v>0</v>
      </c>
    </row>
    <row r="65" spans="1:8" hidden="1" x14ac:dyDescent="0.2">
      <c r="A65" s="1">
        <v>46188</v>
      </c>
      <c r="B65" t="s">
        <v>130</v>
      </c>
      <c r="C65" t="s">
        <v>131</v>
      </c>
      <c r="D65" s="2">
        <v>-8619.3700000000008</v>
      </c>
      <c r="E65" s="3">
        <f>_xlfn.XLOOKUP(C65,gl_cash_extract_jun2026!D:D,gl_cash_extract_jun2026!E:E,"Not Found")</f>
        <v>-8619.3700000000008</v>
      </c>
      <c r="F65" t="str">
        <f t="shared" si="2"/>
        <v>Matched</v>
      </c>
      <c r="G65">
        <f t="shared" si="1"/>
        <v>0</v>
      </c>
    </row>
    <row r="66" spans="1:8" hidden="1" x14ac:dyDescent="0.2">
      <c r="A66" s="1">
        <v>46188</v>
      </c>
      <c r="B66" t="s">
        <v>132</v>
      </c>
      <c r="C66" t="s">
        <v>133</v>
      </c>
      <c r="D66" s="2">
        <v>-9270.17</v>
      </c>
      <c r="E66" s="3">
        <f>_xlfn.XLOOKUP(C66,gl_cash_extract_jun2026!D:D,gl_cash_extract_jun2026!E:E,"Not Found")</f>
        <v>-9270.17</v>
      </c>
      <c r="F66" t="str">
        <f t="shared" ref="F66:F97" si="3">IF(E66="Not Found","Missing from GL",IF(D66=E66,"Matched","Difference"))</f>
        <v>Matched</v>
      </c>
      <c r="G66">
        <f t="shared" ref="G66:G123" si="4">IF(ISNUMBER(E66),ROUND(D66-E66,2),"")</f>
        <v>0</v>
      </c>
    </row>
    <row r="67" spans="1:8" hidden="1" x14ac:dyDescent="0.2">
      <c r="A67" s="1">
        <v>46189</v>
      </c>
      <c r="B67" t="s">
        <v>134</v>
      </c>
      <c r="C67" t="s">
        <v>135</v>
      </c>
      <c r="D67" s="2">
        <v>-6813.33</v>
      </c>
      <c r="E67" s="3">
        <f>_xlfn.XLOOKUP(C67,gl_cash_extract_jun2026!D:D,gl_cash_extract_jun2026!E:E,"Not Found")</f>
        <v>-6813.33</v>
      </c>
      <c r="F67" t="str">
        <f t="shared" si="3"/>
        <v>Matched</v>
      </c>
      <c r="G67">
        <f t="shared" si="4"/>
        <v>0</v>
      </c>
    </row>
    <row r="68" spans="1:8" hidden="1" x14ac:dyDescent="0.2">
      <c r="A68" s="1">
        <v>46189</v>
      </c>
      <c r="B68" t="s">
        <v>136</v>
      </c>
      <c r="C68" t="s">
        <v>137</v>
      </c>
      <c r="D68" s="2">
        <v>-15945.77</v>
      </c>
      <c r="E68" s="3">
        <f>_xlfn.XLOOKUP(C68,gl_cash_extract_jun2026!D:D,gl_cash_extract_jun2026!E:E,"Not Found")</f>
        <v>-15945.77</v>
      </c>
      <c r="F68" t="str">
        <f t="shared" si="3"/>
        <v>Matched</v>
      </c>
      <c r="G68">
        <f t="shared" si="4"/>
        <v>0</v>
      </c>
    </row>
    <row r="69" spans="1:8" hidden="1" x14ac:dyDescent="0.2">
      <c r="A69" s="1">
        <v>46189</v>
      </c>
      <c r="B69" t="s">
        <v>138</v>
      </c>
      <c r="C69" t="s">
        <v>139</v>
      </c>
      <c r="D69" s="2">
        <v>78905.009999999995</v>
      </c>
      <c r="E69" s="3">
        <f>_xlfn.XLOOKUP(C69,gl_cash_extract_jun2026!D:D,gl_cash_extract_jun2026!E:E,"Not Found")</f>
        <v>78905.009999999995</v>
      </c>
      <c r="F69" t="str">
        <f t="shared" si="3"/>
        <v>Matched</v>
      </c>
      <c r="G69">
        <f t="shared" si="4"/>
        <v>0</v>
      </c>
    </row>
    <row r="70" spans="1:8" hidden="1" x14ac:dyDescent="0.2">
      <c r="A70" s="1">
        <v>46189</v>
      </c>
      <c r="B70" t="s">
        <v>140</v>
      </c>
      <c r="C70" t="s">
        <v>141</v>
      </c>
      <c r="D70" s="2">
        <v>61577.27</v>
      </c>
      <c r="E70" s="3">
        <f>_xlfn.XLOOKUP(C70,gl_cash_extract_jun2026!D:D,gl_cash_extract_jun2026!E:E,"Not Found")</f>
        <v>61577.27</v>
      </c>
      <c r="F70" t="str">
        <f t="shared" si="3"/>
        <v>Matched</v>
      </c>
      <c r="G70">
        <f t="shared" si="4"/>
        <v>0</v>
      </c>
    </row>
    <row r="71" spans="1:8" hidden="1" x14ac:dyDescent="0.2">
      <c r="A71" s="1">
        <v>46190</v>
      </c>
      <c r="B71" t="s">
        <v>142</v>
      </c>
      <c r="C71" t="s">
        <v>143</v>
      </c>
      <c r="D71" s="2">
        <v>-22079.8</v>
      </c>
      <c r="E71" s="3">
        <f>_xlfn.XLOOKUP(C71,gl_cash_extract_jun2026!D:D,gl_cash_extract_jun2026!E:E,"Not Found")</f>
        <v>-22079.8</v>
      </c>
      <c r="F71" t="str">
        <f t="shared" si="3"/>
        <v>Matched</v>
      </c>
      <c r="G71">
        <f t="shared" si="4"/>
        <v>0</v>
      </c>
    </row>
    <row r="72" spans="1:8" hidden="1" x14ac:dyDescent="0.2">
      <c r="A72" s="1">
        <v>46190</v>
      </c>
      <c r="B72" t="s">
        <v>144</v>
      </c>
      <c r="C72" t="s">
        <v>145</v>
      </c>
      <c r="D72" s="2">
        <v>56603.15</v>
      </c>
      <c r="E72" s="3">
        <f>_xlfn.XLOOKUP(C72,gl_cash_extract_jun2026!D:D,gl_cash_extract_jun2026!E:E,"Not Found")</f>
        <v>56603.15</v>
      </c>
      <c r="F72" t="str">
        <f t="shared" si="3"/>
        <v>Matched</v>
      </c>
      <c r="G72">
        <f t="shared" si="4"/>
        <v>0</v>
      </c>
    </row>
    <row r="73" spans="1:8" x14ac:dyDescent="0.2">
      <c r="A73" s="1">
        <v>46190</v>
      </c>
      <c r="B73" t="s">
        <v>146</v>
      </c>
      <c r="C73" t="s">
        <v>147</v>
      </c>
      <c r="D73" s="2">
        <v>-2411.46</v>
      </c>
      <c r="E73" s="3">
        <f>_xlfn.XLOOKUP(C73,gl_cash_extract_jun2026!D:D,gl_cash_extract_jun2026!E:E,"Not Found")</f>
        <v>-2411.2800000000002</v>
      </c>
      <c r="F73" t="str">
        <f t="shared" si="3"/>
        <v>Difference</v>
      </c>
      <c r="G73" s="2">
        <f t="shared" si="4"/>
        <v>-0.18</v>
      </c>
      <c r="H73" t="s">
        <v>294</v>
      </c>
    </row>
    <row r="74" spans="1:8" hidden="1" x14ac:dyDescent="0.2">
      <c r="A74" s="1">
        <v>46191</v>
      </c>
      <c r="B74" t="s">
        <v>148</v>
      </c>
      <c r="C74" t="s">
        <v>149</v>
      </c>
      <c r="D74" s="2">
        <v>-15305.18</v>
      </c>
      <c r="E74" s="3">
        <f>_xlfn.XLOOKUP(C74,gl_cash_extract_jun2026!D:D,gl_cash_extract_jun2026!E:E,"Not Found")</f>
        <v>-15305.18</v>
      </c>
      <c r="F74" t="str">
        <f t="shared" si="3"/>
        <v>Matched</v>
      </c>
      <c r="G74">
        <f t="shared" si="4"/>
        <v>0</v>
      </c>
    </row>
    <row r="75" spans="1:8" hidden="1" x14ac:dyDescent="0.2">
      <c r="A75" s="1">
        <v>46191</v>
      </c>
      <c r="B75" t="s">
        <v>150</v>
      </c>
      <c r="C75" t="s">
        <v>151</v>
      </c>
      <c r="D75" s="2">
        <v>-15895.26</v>
      </c>
      <c r="E75" s="3">
        <f>_xlfn.XLOOKUP(C75,gl_cash_extract_jun2026!D:D,gl_cash_extract_jun2026!E:E,"Not Found")</f>
        <v>-15895.26</v>
      </c>
      <c r="F75" t="str">
        <f t="shared" si="3"/>
        <v>Matched</v>
      </c>
      <c r="G75">
        <f t="shared" si="4"/>
        <v>0</v>
      </c>
    </row>
    <row r="76" spans="1:8" hidden="1" x14ac:dyDescent="0.2">
      <c r="A76" s="1">
        <v>46191</v>
      </c>
      <c r="B76" t="s">
        <v>152</v>
      </c>
      <c r="C76" t="s">
        <v>153</v>
      </c>
      <c r="D76" s="2">
        <v>-10735.37</v>
      </c>
      <c r="E76" s="3">
        <f>_xlfn.XLOOKUP(C76,gl_cash_extract_jun2026!D:D,gl_cash_extract_jun2026!E:E,"Not Found")</f>
        <v>-10735.37</v>
      </c>
      <c r="F76" t="str">
        <f t="shared" si="3"/>
        <v>Matched</v>
      </c>
      <c r="G76">
        <f t="shared" si="4"/>
        <v>0</v>
      </c>
    </row>
    <row r="77" spans="1:8" hidden="1" x14ac:dyDescent="0.2">
      <c r="A77" s="1">
        <v>46191</v>
      </c>
      <c r="B77" t="s">
        <v>154</v>
      </c>
      <c r="C77" t="s">
        <v>155</v>
      </c>
      <c r="D77" s="2">
        <v>-4709.2299999999996</v>
      </c>
      <c r="E77" s="3">
        <f>_xlfn.XLOOKUP(C77,gl_cash_extract_jun2026!D:D,gl_cash_extract_jun2026!E:E,"Not Found")</f>
        <v>-4709.2299999999996</v>
      </c>
      <c r="F77" t="str">
        <f t="shared" si="3"/>
        <v>Matched</v>
      </c>
      <c r="G77">
        <f t="shared" si="4"/>
        <v>0</v>
      </c>
    </row>
    <row r="78" spans="1:8" hidden="1" x14ac:dyDescent="0.2">
      <c r="A78" s="1">
        <v>46191</v>
      </c>
      <c r="B78" t="s">
        <v>156</v>
      </c>
      <c r="C78" t="s">
        <v>157</v>
      </c>
      <c r="D78" s="2">
        <v>111792.66</v>
      </c>
      <c r="E78" s="3">
        <f>_xlfn.XLOOKUP(C78,gl_cash_extract_jun2026!D:D,gl_cash_extract_jun2026!E:E,"Not Found")</f>
        <v>111792.66</v>
      </c>
      <c r="F78" t="str">
        <f t="shared" si="3"/>
        <v>Matched</v>
      </c>
      <c r="G78">
        <f t="shared" si="4"/>
        <v>0</v>
      </c>
    </row>
    <row r="79" spans="1:8" hidden="1" x14ac:dyDescent="0.2">
      <c r="A79" s="1">
        <v>46191</v>
      </c>
      <c r="B79" t="s">
        <v>158</v>
      </c>
      <c r="C79" t="s">
        <v>159</v>
      </c>
      <c r="D79" s="2">
        <v>86353.93</v>
      </c>
      <c r="E79" s="3">
        <f>_xlfn.XLOOKUP(C79,gl_cash_extract_jun2026!D:D,gl_cash_extract_jun2026!E:E,"Not Found")</f>
        <v>86353.93</v>
      </c>
      <c r="F79" t="str">
        <f t="shared" si="3"/>
        <v>Matched</v>
      </c>
      <c r="G79">
        <f t="shared" si="4"/>
        <v>0</v>
      </c>
    </row>
    <row r="80" spans="1:8" hidden="1" x14ac:dyDescent="0.2">
      <c r="A80" s="1">
        <v>46191</v>
      </c>
      <c r="B80" t="s">
        <v>160</v>
      </c>
      <c r="C80" t="s">
        <v>161</v>
      </c>
      <c r="D80" s="2">
        <v>47196.480000000003</v>
      </c>
      <c r="E80" s="3">
        <f>_xlfn.XLOOKUP(C80,gl_cash_extract_jun2026!D:D,gl_cash_extract_jun2026!E:E,"Not Found")</f>
        <v>47196.480000000003</v>
      </c>
      <c r="F80" t="str">
        <f t="shared" si="3"/>
        <v>Matched</v>
      </c>
      <c r="G80">
        <f t="shared" si="4"/>
        <v>0</v>
      </c>
    </row>
    <row r="81" spans="1:8" hidden="1" x14ac:dyDescent="0.2">
      <c r="A81" s="1">
        <v>46191</v>
      </c>
      <c r="B81" t="s">
        <v>162</v>
      </c>
      <c r="C81" t="s">
        <v>163</v>
      </c>
      <c r="D81" s="2">
        <v>-48</v>
      </c>
      <c r="E81" s="3" t="str">
        <f>_xlfn.XLOOKUP(C81,gl_cash_extract_jun2026!D:D,gl_cash_extract_jun2026!E:E,"Not Found")</f>
        <v>Not Found</v>
      </c>
      <c r="F81" t="str">
        <f t="shared" si="3"/>
        <v>Missing from GL</v>
      </c>
      <c r="G81" t="str">
        <f t="shared" si="4"/>
        <v/>
      </c>
      <c r="H81" t="s">
        <v>295</v>
      </c>
    </row>
    <row r="82" spans="1:8" hidden="1" x14ac:dyDescent="0.2">
      <c r="A82" s="1">
        <v>46191</v>
      </c>
      <c r="B82" t="s">
        <v>164</v>
      </c>
      <c r="C82" t="s">
        <v>165</v>
      </c>
      <c r="D82" s="2">
        <v>-3937.53</v>
      </c>
      <c r="E82" s="3">
        <f>_xlfn.XLOOKUP(C82,gl_cash_extract_jun2026!D:D,gl_cash_extract_jun2026!E:E,"Not Found")</f>
        <v>-3937.53</v>
      </c>
      <c r="F82" t="str">
        <f t="shared" si="3"/>
        <v>Matched</v>
      </c>
      <c r="G82">
        <f t="shared" si="4"/>
        <v>0</v>
      </c>
    </row>
    <row r="83" spans="1:8" x14ac:dyDescent="0.2">
      <c r="A83" s="1">
        <v>46191</v>
      </c>
      <c r="B83" t="s">
        <v>166</v>
      </c>
      <c r="C83" t="s">
        <v>167</v>
      </c>
      <c r="D83" s="2">
        <v>-1154.68</v>
      </c>
      <c r="E83" s="3">
        <f>_xlfn.XLOOKUP(C83,gl_cash_extract_jun2026!D:D,gl_cash_extract_jun2026!E:E,"Not Found")</f>
        <v>-1154.82</v>
      </c>
      <c r="F83" t="str">
        <f t="shared" si="3"/>
        <v>Difference</v>
      </c>
      <c r="G83" s="2">
        <f t="shared" si="4"/>
        <v>0.14000000000000001</v>
      </c>
      <c r="H83" t="s">
        <v>296</v>
      </c>
    </row>
    <row r="84" spans="1:8" hidden="1" x14ac:dyDescent="0.2">
      <c r="A84" s="1">
        <v>46192</v>
      </c>
      <c r="B84" t="s">
        <v>168</v>
      </c>
      <c r="C84" t="s">
        <v>169</v>
      </c>
      <c r="D84" s="2">
        <v>-2934.68</v>
      </c>
      <c r="E84" s="3">
        <f>_xlfn.XLOOKUP(C84,gl_cash_extract_jun2026!D:D,gl_cash_extract_jun2026!E:E,"Not Found")</f>
        <v>-2934.68</v>
      </c>
      <c r="F84" t="str">
        <f t="shared" si="3"/>
        <v>Matched</v>
      </c>
      <c r="G84">
        <f t="shared" si="4"/>
        <v>0</v>
      </c>
    </row>
    <row r="85" spans="1:8" hidden="1" x14ac:dyDescent="0.2">
      <c r="A85" s="1">
        <v>46192</v>
      </c>
      <c r="B85" t="s">
        <v>170</v>
      </c>
      <c r="C85" t="s">
        <v>171</v>
      </c>
      <c r="D85" s="2">
        <v>30144.87</v>
      </c>
      <c r="E85" s="3">
        <f>_xlfn.XLOOKUP(C85,gl_cash_extract_jun2026!D:D,gl_cash_extract_jun2026!E:E,"Not Found")</f>
        <v>30144.87</v>
      </c>
      <c r="F85" t="str">
        <f t="shared" si="3"/>
        <v>Matched</v>
      </c>
      <c r="G85">
        <f t="shared" si="4"/>
        <v>0</v>
      </c>
    </row>
    <row r="86" spans="1:8" hidden="1" x14ac:dyDescent="0.2">
      <c r="A86" s="1">
        <v>46192</v>
      </c>
      <c r="B86" t="s">
        <v>172</v>
      </c>
      <c r="C86" t="s">
        <v>173</v>
      </c>
      <c r="D86" s="2">
        <v>-17410.259999999998</v>
      </c>
      <c r="E86" s="3">
        <f>_xlfn.XLOOKUP(C86,gl_cash_extract_jun2026!D:D,gl_cash_extract_jun2026!E:E,"Not Found")</f>
        <v>-17410.259999999998</v>
      </c>
      <c r="F86" t="str">
        <f t="shared" si="3"/>
        <v>Matched</v>
      </c>
      <c r="G86">
        <f t="shared" si="4"/>
        <v>0</v>
      </c>
    </row>
    <row r="87" spans="1:8" hidden="1" x14ac:dyDescent="0.2">
      <c r="A87" s="1">
        <v>46192</v>
      </c>
      <c r="B87" t="s">
        <v>174</v>
      </c>
      <c r="C87" t="s">
        <v>175</v>
      </c>
      <c r="D87" s="2">
        <v>-10385.290000000001</v>
      </c>
      <c r="E87" s="3">
        <f>_xlfn.XLOOKUP(C87,gl_cash_extract_jun2026!D:D,gl_cash_extract_jun2026!E:E,"Not Found")</f>
        <v>-10385.290000000001</v>
      </c>
      <c r="F87" t="str">
        <f t="shared" si="3"/>
        <v>Matched</v>
      </c>
      <c r="G87">
        <f t="shared" si="4"/>
        <v>0</v>
      </c>
    </row>
    <row r="88" spans="1:8" hidden="1" x14ac:dyDescent="0.2">
      <c r="A88" s="1">
        <v>46192</v>
      </c>
      <c r="B88" t="s">
        <v>176</v>
      </c>
      <c r="C88" t="s">
        <v>177</v>
      </c>
      <c r="D88" s="2">
        <v>-14976.01</v>
      </c>
      <c r="E88" s="3">
        <f>_xlfn.XLOOKUP(C88,gl_cash_extract_jun2026!D:D,gl_cash_extract_jun2026!E:E,"Not Found")</f>
        <v>-14976.01</v>
      </c>
      <c r="F88" t="str">
        <f t="shared" si="3"/>
        <v>Matched</v>
      </c>
      <c r="G88">
        <f t="shared" si="4"/>
        <v>0</v>
      </c>
    </row>
    <row r="89" spans="1:8" hidden="1" x14ac:dyDescent="0.2">
      <c r="A89" s="1">
        <v>46195</v>
      </c>
      <c r="B89" t="s">
        <v>178</v>
      </c>
      <c r="C89" t="s">
        <v>179</v>
      </c>
      <c r="D89" s="2">
        <v>-14341.45</v>
      </c>
      <c r="E89" s="3">
        <f>_xlfn.XLOOKUP(C89,gl_cash_extract_jun2026!D:D,gl_cash_extract_jun2026!E:E,"Not Found")</f>
        <v>-14341.45</v>
      </c>
      <c r="F89" t="str">
        <f t="shared" si="3"/>
        <v>Matched</v>
      </c>
      <c r="G89">
        <f t="shared" si="4"/>
        <v>0</v>
      </c>
    </row>
    <row r="90" spans="1:8" hidden="1" x14ac:dyDescent="0.2">
      <c r="A90" s="1">
        <v>46195</v>
      </c>
      <c r="B90" t="s">
        <v>180</v>
      </c>
      <c r="C90" t="s">
        <v>181</v>
      </c>
      <c r="D90" s="2">
        <v>-13390.63</v>
      </c>
      <c r="E90" s="3">
        <f>_xlfn.XLOOKUP(C90,gl_cash_extract_jun2026!D:D,gl_cash_extract_jun2026!E:E,"Not Found")</f>
        <v>-13390.63</v>
      </c>
      <c r="F90" t="str">
        <f t="shared" si="3"/>
        <v>Matched</v>
      </c>
      <c r="G90">
        <f t="shared" si="4"/>
        <v>0</v>
      </c>
    </row>
    <row r="91" spans="1:8" hidden="1" x14ac:dyDescent="0.2">
      <c r="A91" s="1">
        <v>46195</v>
      </c>
      <c r="B91" t="s">
        <v>182</v>
      </c>
      <c r="C91" t="s">
        <v>183</v>
      </c>
      <c r="D91" s="2">
        <v>-3495.61</v>
      </c>
      <c r="E91" s="3">
        <f>_xlfn.XLOOKUP(C91,gl_cash_extract_jun2026!D:D,gl_cash_extract_jun2026!E:E,"Not Found")</f>
        <v>-3495.61</v>
      </c>
      <c r="F91" t="str">
        <f t="shared" si="3"/>
        <v>Matched</v>
      </c>
      <c r="G91">
        <f t="shared" si="4"/>
        <v>0</v>
      </c>
    </row>
    <row r="92" spans="1:8" hidden="1" x14ac:dyDescent="0.2">
      <c r="A92" s="1">
        <v>46195</v>
      </c>
      <c r="B92" t="s">
        <v>184</v>
      </c>
      <c r="C92" t="s">
        <v>185</v>
      </c>
      <c r="D92" s="2">
        <v>-9603.9500000000007</v>
      </c>
      <c r="E92" s="3">
        <f>_xlfn.XLOOKUP(C92,gl_cash_extract_jun2026!D:D,gl_cash_extract_jun2026!E:E,"Not Found")</f>
        <v>-9603.9500000000007</v>
      </c>
      <c r="F92" t="str">
        <f t="shared" si="3"/>
        <v>Matched</v>
      </c>
      <c r="G92">
        <f t="shared" si="4"/>
        <v>0</v>
      </c>
    </row>
    <row r="93" spans="1:8" hidden="1" x14ac:dyDescent="0.2">
      <c r="A93" s="1">
        <v>46195</v>
      </c>
      <c r="B93" t="s">
        <v>186</v>
      </c>
      <c r="C93" t="s">
        <v>187</v>
      </c>
      <c r="D93" s="2">
        <v>59150.99</v>
      </c>
      <c r="E93" s="3">
        <f>_xlfn.XLOOKUP(C93,gl_cash_extract_jun2026!D:D,gl_cash_extract_jun2026!E:E,"Not Found")</f>
        <v>59150.99</v>
      </c>
      <c r="F93" t="str">
        <f t="shared" si="3"/>
        <v>Matched</v>
      </c>
      <c r="G93">
        <f t="shared" si="4"/>
        <v>0</v>
      </c>
    </row>
    <row r="94" spans="1:8" x14ac:dyDescent="0.2">
      <c r="A94" s="1">
        <v>46195</v>
      </c>
      <c r="B94" t="s">
        <v>188</v>
      </c>
      <c r="C94" t="s">
        <v>189</v>
      </c>
      <c r="D94" s="2">
        <v>-9274.7900000000009</v>
      </c>
      <c r="E94" s="3">
        <f>_xlfn.XLOOKUP(C94,gl_cash_extract_jun2026!D:D,gl_cash_extract_jun2026!E:E,"Not Found")</f>
        <v>-9274.16</v>
      </c>
      <c r="F94" t="str">
        <f t="shared" si="3"/>
        <v>Difference</v>
      </c>
      <c r="G94" s="2">
        <f t="shared" si="4"/>
        <v>-0.63</v>
      </c>
      <c r="H94" t="s">
        <v>297</v>
      </c>
    </row>
    <row r="95" spans="1:8" hidden="1" x14ac:dyDescent="0.2">
      <c r="A95" s="1">
        <v>46195</v>
      </c>
      <c r="B95" t="s">
        <v>190</v>
      </c>
      <c r="C95" t="s">
        <v>191</v>
      </c>
      <c r="D95" s="2">
        <v>-18548.060000000001</v>
      </c>
      <c r="E95" s="3">
        <f>_xlfn.XLOOKUP(C95,gl_cash_extract_jun2026!D:D,gl_cash_extract_jun2026!E:E,"Not Found")</f>
        <v>-18548.060000000001</v>
      </c>
      <c r="F95" t="str">
        <f t="shared" si="3"/>
        <v>Matched</v>
      </c>
      <c r="G95">
        <f t="shared" si="4"/>
        <v>0</v>
      </c>
    </row>
    <row r="96" spans="1:8" hidden="1" x14ac:dyDescent="0.2">
      <c r="A96" s="1">
        <v>46195</v>
      </c>
      <c r="B96" t="s">
        <v>192</v>
      </c>
      <c r="C96" t="s">
        <v>193</v>
      </c>
      <c r="D96" s="2">
        <v>-389.44</v>
      </c>
      <c r="E96" s="3" t="str">
        <f>_xlfn.XLOOKUP(C96,gl_cash_extract_jun2026!D:D,gl_cash_extract_jun2026!E:E,"Not Found")</f>
        <v>Not Found</v>
      </c>
      <c r="F96" t="str">
        <f t="shared" si="3"/>
        <v>Missing from GL</v>
      </c>
      <c r="G96" t="str">
        <f t="shared" si="4"/>
        <v/>
      </c>
      <c r="H96" t="s">
        <v>295</v>
      </c>
    </row>
    <row r="97" spans="1:8" hidden="1" x14ac:dyDescent="0.2">
      <c r="A97" s="1">
        <v>46195</v>
      </c>
      <c r="B97" t="s">
        <v>194</v>
      </c>
      <c r="C97" t="s">
        <v>195</v>
      </c>
      <c r="D97" s="2">
        <v>-19936.419999999998</v>
      </c>
      <c r="E97" s="3">
        <f>_xlfn.XLOOKUP(C97,gl_cash_extract_jun2026!D:D,gl_cash_extract_jun2026!E:E,"Not Found")</f>
        <v>-19936.419999999998</v>
      </c>
      <c r="F97" t="str">
        <f t="shared" si="3"/>
        <v>Matched</v>
      </c>
      <c r="G97">
        <f t="shared" si="4"/>
        <v>0</v>
      </c>
    </row>
    <row r="98" spans="1:8" hidden="1" x14ac:dyDescent="0.2">
      <c r="A98" s="1">
        <v>46195</v>
      </c>
      <c r="B98" t="s">
        <v>196</v>
      </c>
      <c r="C98" t="s">
        <v>197</v>
      </c>
      <c r="D98" s="2">
        <v>-12259.66</v>
      </c>
      <c r="E98" s="3">
        <f>_xlfn.XLOOKUP(C98,gl_cash_extract_jun2026!D:D,gl_cash_extract_jun2026!E:E,"Not Found")</f>
        <v>-12259.66</v>
      </c>
      <c r="F98" t="str">
        <f t="shared" ref="F98:F129" si="5">IF(E98="Not Found","Missing from GL",IF(D98=E98,"Matched","Difference"))</f>
        <v>Matched</v>
      </c>
      <c r="G98">
        <f t="shared" si="4"/>
        <v>0</v>
      </c>
    </row>
    <row r="99" spans="1:8" x14ac:dyDescent="0.2">
      <c r="A99" s="1">
        <v>46195</v>
      </c>
      <c r="B99" t="s">
        <v>198</v>
      </c>
      <c r="C99" t="s">
        <v>199</v>
      </c>
      <c r="D99" s="2">
        <v>-1887.08</v>
      </c>
      <c r="E99" s="3">
        <f>_xlfn.XLOOKUP(C99,gl_cash_extract_jun2026!D:D,gl_cash_extract_jun2026!E:E,"Not Found")</f>
        <v>-1887.53</v>
      </c>
      <c r="F99" t="str">
        <f t="shared" si="5"/>
        <v>Difference</v>
      </c>
      <c r="G99" s="2">
        <f t="shared" si="4"/>
        <v>0.45</v>
      </c>
      <c r="H99" t="s">
        <v>298</v>
      </c>
    </row>
    <row r="100" spans="1:8" x14ac:dyDescent="0.2">
      <c r="A100" s="1">
        <v>46195</v>
      </c>
      <c r="B100" t="s">
        <v>200</v>
      </c>
      <c r="C100" t="s">
        <v>201</v>
      </c>
      <c r="D100" s="2">
        <v>-6649.18</v>
      </c>
      <c r="E100" s="3">
        <f>_xlfn.XLOOKUP(C100,gl_cash_extract_jun2026!D:D,gl_cash_extract_jun2026!E:E,"Not Found")</f>
        <v>-6648.91</v>
      </c>
      <c r="F100" t="str">
        <f t="shared" si="5"/>
        <v>Difference</v>
      </c>
      <c r="G100" s="2">
        <f t="shared" si="4"/>
        <v>-0.27</v>
      </c>
      <c r="H100" t="s">
        <v>299</v>
      </c>
    </row>
    <row r="101" spans="1:8" hidden="1" x14ac:dyDescent="0.2">
      <c r="A101" s="1">
        <v>46196</v>
      </c>
      <c r="B101" t="s">
        <v>202</v>
      </c>
      <c r="C101" t="s">
        <v>203</v>
      </c>
      <c r="D101" s="2">
        <v>-22691.11</v>
      </c>
      <c r="E101" s="3">
        <f>_xlfn.XLOOKUP(C101,gl_cash_extract_jun2026!D:D,gl_cash_extract_jun2026!E:E,"Not Found")</f>
        <v>-22691.11</v>
      </c>
      <c r="F101" t="str">
        <f t="shared" si="5"/>
        <v>Matched</v>
      </c>
      <c r="G101">
        <f t="shared" si="4"/>
        <v>0</v>
      </c>
    </row>
    <row r="102" spans="1:8" hidden="1" x14ac:dyDescent="0.2">
      <c r="A102" s="1">
        <v>46197</v>
      </c>
      <c r="B102" t="s">
        <v>204</v>
      </c>
      <c r="C102" t="s">
        <v>205</v>
      </c>
      <c r="D102" s="2">
        <v>-10531.31</v>
      </c>
      <c r="E102" s="3">
        <f>_xlfn.XLOOKUP(C102,gl_cash_extract_jun2026!D:D,gl_cash_extract_jun2026!E:E,"Not Found")</f>
        <v>-10531.31</v>
      </c>
      <c r="F102" t="str">
        <f t="shared" si="5"/>
        <v>Matched</v>
      </c>
      <c r="G102">
        <f t="shared" si="4"/>
        <v>0</v>
      </c>
    </row>
    <row r="103" spans="1:8" hidden="1" x14ac:dyDescent="0.2">
      <c r="A103" s="1">
        <v>46197</v>
      </c>
      <c r="B103" t="s">
        <v>206</v>
      </c>
      <c r="C103" t="s">
        <v>207</v>
      </c>
      <c r="D103" s="2">
        <v>-7694.16</v>
      </c>
      <c r="E103" s="3">
        <f>_xlfn.XLOOKUP(C103,gl_cash_extract_jun2026!D:D,gl_cash_extract_jun2026!E:E,"Not Found")</f>
        <v>-7694.16</v>
      </c>
      <c r="F103" t="str">
        <f t="shared" si="5"/>
        <v>Matched</v>
      </c>
      <c r="G103">
        <f t="shared" si="4"/>
        <v>0</v>
      </c>
    </row>
    <row r="104" spans="1:8" hidden="1" x14ac:dyDescent="0.2">
      <c r="A104" s="1">
        <v>46197</v>
      </c>
      <c r="B104" t="s">
        <v>208</v>
      </c>
      <c r="C104" t="s">
        <v>209</v>
      </c>
      <c r="D104" s="2">
        <v>30455.14</v>
      </c>
      <c r="E104" s="3">
        <f>_xlfn.XLOOKUP(C104,gl_cash_extract_jun2026!D:D,gl_cash_extract_jun2026!E:E,"Not Found")</f>
        <v>30455.14</v>
      </c>
      <c r="F104" t="str">
        <f t="shared" si="5"/>
        <v>Matched</v>
      </c>
      <c r="G104">
        <f t="shared" si="4"/>
        <v>0</v>
      </c>
    </row>
    <row r="105" spans="1:8" hidden="1" x14ac:dyDescent="0.2">
      <c r="A105" s="1">
        <v>46197</v>
      </c>
      <c r="B105" t="s">
        <v>210</v>
      </c>
      <c r="C105" t="s">
        <v>211</v>
      </c>
      <c r="D105" s="2">
        <v>-22899.9</v>
      </c>
      <c r="E105" s="3">
        <f>_xlfn.XLOOKUP(C105,gl_cash_extract_jun2026!D:D,gl_cash_extract_jun2026!E:E,"Not Found")</f>
        <v>-22899.9</v>
      </c>
      <c r="F105" t="str">
        <f t="shared" si="5"/>
        <v>Matched</v>
      </c>
      <c r="G105">
        <f t="shared" si="4"/>
        <v>0</v>
      </c>
    </row>
    <row r="106" spans="1:8" x14ac:dyDescent="0.2">
      <c r="A106" s="1">
        <v>46197</v>
      </c>
      <c r="B106" t="s">
        <v>212</v>
      </c>
      <c r="C106" t="s">
        <v>213</v>
      </c>
      <c r="D106" s="2">
        <v>-13902.08</v>
      </c>
      <c r="E106" s="3">
        <f>_xlfn.XLOOKUP(C106,gl_cash_extract_jun2026!D:D,gl_cash_extract_jun2026!E:E,"Not Found")</f>
        <v>-13902.44</v>
      </c>
      <c r="F106" t="str">
        <f t="shared" si="5"/>
        <v>Difference</v>
      </c>
      <c r="G106" s="2">
        <f t="shared" si="4"/>
        <v>0.36</v>
      </c>
      <c r="H106" t="s">
        <v>300</v>
      </c>
    </row>
    <row r="107" spans="1:8" hidden="1" x14ac:dyDescent="0.2">
      <c r="A107" s="1">
        <v>46197</v>
      </c>
      <c r="B107" t="s">
        <v>214</v>
      </c>
      <c r="C107" t="s">
        <v>215</v>
      </c>
      <c r="D107" s="2">
        <v>-16540.939999999999</v>
      </c>
      <c r="E107" s="3">
        <f>_xlfn.XLOOKUP(C107,gl_cash_extract_jun2026!D:D,gl_cash_extract_jun2026!E:E,"Not Found")</f>
        <v>-16540.939999999999</v>
      </c>
      <c r="F107" t="str">
        <f t="shared" si="5"/>
        <v>Matched</v>
      </c>
      <c r="G107">
        <f t="shared" si="4"/>
        <v>0</v>
      </c>
    </row>
    <row r="108" spans="1:8" hidden="1" x14ac:dyDescent="0.2">
      <c r="A108" s="1">
        <v>46198</v>
      </c>
      <c r="B108" t="s">
        <v>216</v>
      </c>
      <c r="C108" t="s">
        <v>217</v>
      </c>
      <c r="D108" s="2">
        <v>-20256.73</v>
      </c>
      <c r="E108" s="3">
        <f>_xlfn.XLOOKUP(C108,gl_cash_extract_jun2026!D:D,gl_cash_extract_jun2026!E:E,"Not Found")</f>
        <v>-20256.73</v>
      </c>
      <c r="F108" t="str">
        <f t="shared" si="5"/>
        <v>Matched</v>
      </c>
      <c r="G108">
        <f t="shared" si="4"/>
        <v>0</v>
      </c>
    </row>
    <row r="109" spans="1:8" hidden="1" x14ac:dyDescent="0.2">
      <c r="A109" s="1">
        <v>46198</v>
      </c>
      <c r="B109" t="s">
        <v>218</v>
      </c>
      <c r="C109" t="s">
        <v>219</v>
      </c>
      <c r="D109" s="2">
        <v>-7966.03</v>
      </c>
      <c r="E109" s="3">
        <f>_xlfn.XLOOKUP(C109,gl_cash_extract_jun2026!D:D,gl_cash_extract_jun2026!E:E,"Not Found")</f>
        <v>-7966.03</v>
      </c>
      <c r="F109" t="str">
        <f t="shared" si="5"/>
        <v>Matched</v>
      </c>
      <c r="G109">
        <f t="shared" si="4"/>
        <v>0</v>
      </c>
    </row>
    <row r="110" spans="1:8" hidden="1" x14ac:dyDescent="0.2">
      <c r="A110" s="1">
        <v>46198</v>
      </c>
      <c r="B110" t="s">
        <v>220</v>
      </c>
      <c r="C110" t="s">
        <v>221</v>
      </c>
      <c r="D110" s="2">
        <v>-19617.669999999998</v>
      </c>
      <c r="E110" s="3">
        <f>_xlfn.XLOOKUP(C110,gl_cash_extract_jun2026!D:D,gl_cash_extract_jun2026!E:E,"Not Found")</f>
        <v>-19617.669999999998</v>
      </c>
      <c r="F110" t="str">
        <f t="shared" si="5"/>
        <v>Matched</v>
      </c>
      <c r="G110">
        <f t="shared" si="4"/>
        <v>0</v>
      </c>
    </row>
    <row r="111" spans="1:8" hidden="1" x14ac:dyDescent="0.2">
      <c r="A111" s="1">
        <v>46198</v>
      </c>
      <c r="B111" t="s">
        <v>222</v>
      </c>
      <c r="C111" t="s">
        <v>223</v>
      </c>
      <c r="D111" s="2">
        <v>-5308.77</v>
      </c>
      <c r="E111" s="3">
        <f>_xlfn.XLOOKUP(C111,gl_cash_extract_jun2026!D:D,gl_cash_extract_jun2026!E:E,"Not Found")</f>
        <v>-5308.77</v>
      </c>
      <c r="F111" t="str">
        <f t="shared" si="5"/>
        <v>Matched</v>
      </c>
      <c r="G111">
        <f t="shared" si="4"/>
        <v>0</v>
      </c>
    </row>
    <row r="112" spans="1:8" hidden="1" x14ac:dyDescent="0.2">
      <c r="A112" s="1">
        <v>46198</v>
      </c>
      <c r="B112" t="s">
        <v>224</v>
      </c>
      <c r="C112" t="s">
        <v>225</v>
      </c>
      <c r="D112" s="2">
        <v>-7711.34</v>
      </c>
      <c r="E112" s="3">
        <f>_xlfn.XLOOKUP(C112,gl_cash_extract_jun2026!D:D,gl_cash_extract_jun2026!E:E,"Not Found")</f>
        <v>-7711.34</v>
      </c>
      <c r="F112" t="str">
        <f t="shared" si="5"/>
        <v>Matched</v>
      </c>
      <c r="G112">
        <f t="shared" si="4"/>
        <v>0</v>
      </c>
    </row>
    <row r="113" spans="1:8" hidden="1" x14ac:dyDescent="0.2">
      <c r="A113" s="1">
        <v>46198</v>
      </c>
      <c r="B113" t="s">
        <v>226</v>
      </c>
      <c r="C113" t="s">
        <v>227</v>
      </c>
      <c r="D113" s="2">
        <v>-1260</v>
      </c>
      <c r="E113" s="3" t="str">
        <f>_xlfn.XLOOKUP(C113,gl_cash_extract_jun2026!D:D,gl_cash_extract_jun2026!E:E,"Not Found")</f>
        <v>Not Found</v>
      </c>
      <c r="F113" t="str">
        <f t="shared" si="5"/>
        <v>Missing from GL</v>
      </c>
      <c r="G113" t="str">
        <f t="shared" si="4"/>
        <v/>
      </c>
      <c r="H113" t="s">
        <v>301</v>
      </c>
    </row>
    <row r="114" spans="1:8" hidden="1" x14ac:dyDescent="0.2">
      <c r="A114" s="1">
        <v>46199</v>
      </c>
      <c r="B114" t="s">
        <v>228</v>
      </c>
      <c r="C114" t="s">
        <v>229</v>
      </c>
      <c r="D114" s="2">
        <v>2150</v>
      </c>
      <c r="E114" s="3" t="str">
        <f>_xlfn.XLOOKUP(C114,gl_cash_extract_jun2026!D:D,gl_cash_extract_jun2026!E:E,"Not Found")</f>
        <v>Not Found</v>
      </c>
      <c r="F114" t="str">
        <f t="shared" si="5"/>
        <v>Missing from GL</v>
      </c>
      <c r="G114" t="str">
        <f t="shared" si="4"/>
        <v/>
      </c>
      <c r="H114" t="s">
        <v>295</v>
      </c>
    </row>
    <row r="115" spans="1:8" hidden="1" x14ac:dyDescent="0.2">
      <c r="A115" s="1">
        <v>46199</v>
      </c>
      <c r="B115" t="s">
        <v>230</v>
      </c>
      <c r="C115" t="s">
        <v>231</v>
      </c>
      <c r="D115" s="2">
        <v>-15125.76</v>
      </c>
      <c r="E115" s="3">
        <f>_xlfn.XLOOKUP(C115,gl_cash_extract_jun2026!D:D,gl_cash_extract_jun2026!E:E,"Not Found")</f>
        <v>-15125.76</v>
      </c>
      <c r="F115" t="str">
        <f t="shared" si="5"/>
        <v>Matched</v>
      </c>
      <c r="G115">
        <f t="shared" si="4"/>
        <v>0</v>
      </c>
    </row>
    <row r="116" spans="1:8" hidden="1" x14ac:dyDescent="0.2">
      <c r="A116" s="1">
        <v>46199</v>
      </c>
      <c r="B116" t="s">
        <v>232</v>
      </c>
      <c r="C116" t="s">
        <v>233</v>
      </c>
      <c r="D116" s="2">
        <v>-8508.86</v>
      </c>
      <c r="E116" s="3">
        <f>_xlfn.XLOOKUP(C116,gl_cash_extract_jun2026!D:D,gl_cash_extract_jun2026!E:E,"Not Found")</f>
        <v>-8508.86</v>
      </c>
      <c r="F116" t="str">
        <f t="shared" si="5"/>
        <v>Matched</v>
      </c>
      <c r="G116">
        <f t="shared" si="4"/>
        <v>0</v>
      </c>
    </row>
    <row r="117" spans="1:8" hidden="1" x14ac:dyDescent="0.2">
      <c r="A117" s="1">
        <v>46199</v>
      </c>
      <c r="B117" t="s">
        <v>234</v>
      </c>
      <c r="C117" t="s">
        <v>235</v>
      </c>
      <c r="D117" s="2">
        <v>-22249.66</v>
      </c>
      <c r="E117" s="3">
        <f>_xlfn.XLOOKUP(C117,gl_cash_extract_jun2026!D:D,gl_cash_extract_jun2026!E:E,"Not Found")</f>
        <v>-22249.66</v>
      </c>
      <c r="F117" t="str">
        <f t="shared" si="5"/>
        <v>Matched</v>
      </c>
      <c r="G117">
        <f t="shared" si="4"/>
        <v>0</v>
      </c>
    </row>
    <row r="118" spans="1:8" hidden="1" x14ac:dyDescent="0.2">
      <c r="A118" s="1">
        <v>46199</v>
      </c>
      <c r="B118" t="s">
        <v>236</v>
      </c>
      <c r="C118" t="s">
        <v>237</v>
      </c>
      <c r="D118" s="2">
        <v>-20774.91</v>
      </c>
      <c r="E118" s="3">
        <f>_xlfn.XLOOKUP(C118,gl_cash_extract_jun2026!D:D,gl_cash_extract_jun2026!E:E,"Not Found")</f>
        <v>-20774.91</v>
      </c>
      <c r="F118" t="str">
        <f t="shared" si="5"/>
        <v>Matched</v>
      </c>
      <c r="G118">
        <f t="shared" si="4"/>
        <v>0</v>
      </c>
    </row>
    <row r="119" spans="1:8" hidden="1" x14ac:dyDescent="0.2">
      <c r="A119" s="1">
        <v>46199</v>
      </c>
      <c r="B119" t="s">
        <v>238</v>
      </c>
      <c r="C119" t="s">
        <v>239</v>
      </c>
      <c r="D119" s="2">
        <v>-6535.31</v>
      </c>
      <c r="E119" s="3">
        <f>_xlfn.XLOOKUP(C119,gl_cash_extract_jun2026!D:D,gl_cash_extract_jun2026!E:E,"Not Found")</f>
        <v>-6535.31</v>
      </c>
      <c r="F119" t="str">
        <f t="shared" si="5"/>
        <v>Matched</v>
      </c>
      <c r="G119">
        <f t="shared" si="4"/>
        <v>0</v>
      </c>
    </row>
    <row r="120" spans="1:8" hidden="1" x14ac:dyDescent="0.2">
      <c r="A120" s="1">
        <v>46199</v>
      </c>
      <c r="B120" t="s">
        <v>240</v>
      </c>
      <c r="C120" t="s">
        <v>241</v>
      </c>
      <c r="D120" s="2">
        <v>-22311.13</v>
      </c>
      <c r="E120" s="3">
        <f>_xlfn.XLOOKUP(C120,gl_cash_extract_jun2026!D:D,gl_cash_extract_jun2026!E:E,"Not Found")</f>
        <v>-22311.13</v>
      </c>
      <c r="F120" t="str">
        <f t="shared" si="5"/>
        <v>Matched</v>
      </c>
      <c r="G120">
        <f t="shared" si="4"/>
        <v>0</v>
      </c>
    </row>
    <row r="121" spans="1:8" hidden="1" x14ac:dyDescent="0.2">
      <c r="A121" s="1">
        <v>46203</v>
      </c>
      <c r="B121" t="s">
        <v>242</v>
      </c>
      <c r="C121" t="s">
        <v>243</v>
      </c>
      <c r="D121" s="2">
        <v>214.87</v>
      </c>
      <c r="E121" s="3" t="str">
        <f>_xlfn.XLOOKUP(C121,gl_cash_extract_jun2026!D:D,gl_cash_extract_jun2026!E:E,"Not Found")</f>
        <v>Not Found</v>
      </c>
      <c r="F121" t="str">
        <f t="shared" si="5"/>
        <v>Missing from GL</v>
      </c>
      <c r="G121" t="str">
        <f t="shared" si="4"/>
        <v/>
      </c>
      <c r="H121" t="s">
        <v>302</v>
      </c>
    </row>
    <row r="122" spans="1:8" hidden="1" x14ac:dyDescent="0.2">
      <c r="A122" s="1">
        <v>46203</v>
      </c>
      <c r="B122" t="s">
        <v>244</v>
      </c>
      <c r="C122" t="s">
        <v>245</v>
      </c>
      <c r="D122" s="2">
        <v>-125</v>
      </c>
      <c r="E122" s="3" t="str">
        <f>_xlfn.XLOOKUP(C122,gl_cash_extract_jun2026!D:D,gl_cash_extract_jun2026!E:E,"Not Found")</f>
        <v>Not Found</v>
      </c>
      <c r="F122" t="str">
        <f t="shared" si="5"/>
        <v>Missing from GL</v>
      </c>
      <c r="G122" t="str">
        <f t="shared" si="4"/>
        <v/>
      </c>
      <c r="H122" t="s">
        <v>295</v>
      </c>
    </row>
    <row r="123" spans="1:8" hidden="1" x14ac:dyDescent="0.2">
      <c r="A123" s="1">
        <v>46203</v>
      </c>
      <c r="B123" t="s">
        <v>246</v>
      </c>
      <c r="C123" t="s">
        <v>247</v>
      </c>
      <c r="D123" s="2">
        <v>-45</v>
      </c>
      <c r="E123" s="3" t="str">
        <f>_xlfn.XLOOKUP(C123,gl_cash_extract_jun2026!D:D,gl_cash_extract_jun2026!E:E,"Not Found")</f>
        <v>Not Found</v>
      </c>
      <c r="F123" t="str">
        <f t="shared" si="5"/>
        <v>Missing from GL</v>
      </c>
      <c r="G123" t="str">
        <f t="shared" si="4"/>
        <v/>
      </c>
      <c r="H123" t="s">
        <v>295</v>
      </c>
    </row>
    <row r="124" spans="1:8" x14ac:dyDescent="0.2">
      <c r="A124" s="1"/>
      <c r="E124"/>
      <c r="G124"/>
    </row>
    <row r="125" spans="1:8" x14ac:dyDescent="0.2">
      <c r="C125" s="4" t="s">
        <v>303</v>
      </c>
      <c r="D125" s="5">
        <f>SUM(Bankl[Amount])</f>
        <v>222907.30000000019</v>
      </c>
      <c r="E125" s="4"/>
      <c r="F125" s="4" t="s">
        <v>304</v>
      </c>
      <c r="G125" s="5">
        <f>SUM(Bankl[Difference])</f>
        <v>-0.35</v>
      </c>
    </row>
  </sheetData>
  <conditionalFormatting sqref="E1:E123 E126:E1048576">
    <cfRule type="cellIs" dxfId="12" priority="1" operator="lessThan">
      <formula>0</formula>
    </cfRule>
  </conditionalFormatting>
  <conditionalFormatting sqref="F2:F123">
    <cfRule type="expression" dxfId="10" priority="2">
      <formula>AND(F2&lt;&gt;"",F2&lt;&gt;"Matched")</formula>
    </cfRule>
  </conditionalFormatting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FB66A-DE26-FB4E-B7F0-2B7140AC91F1}">
  <dimension ref="A1:I124"/>
  <sheetViews>
    <sheetView workbookViewId="0">
      <pane ySplit="1" topLeftCell="A111" activePane="bottomLeft" state="frozen"/>
      <selection pane="bottomLeft" activeCell="E125" sqref="E125"/>
    </sheetView>
  </sheetViews>
  <sheetFormatPr baseColWidth="10" defaultRowHeight="16" x14ac:dyDescent="0.2"/>
  <cols>
    <col min="1" max="1" width="7.6640625" bestFit="1" customWidth="1"/>
    <col min="2" max="2" width="25.83203125" customWidth="1"/>
    <col min="3" max="3" width="43.33203125" customWidth="1"/>
    <col min="4" max="4" width="17.83203125" bestFit="1" customWidth="1"/>
    <col min="5" max="5" width="11.1640625" bestFit="1" customWidth="1"/>
    <col min="6" max="6" width="11.1640625" style="3" bestFit="1" customWidth="1"/>
    <col min="7" max="7" width="21.33203125" bestFit="1" customWidth="1"/>
    <col min="8" max="8" width="19.5" bestFit="1" customWidth="1"/>
    <col min="9" max="9" width="57.6640625" bestFit="1" customWidth="1"/>
  </cols>
  <sheetData>
    <row r="1" spans="1:9" x14ac:dyDescent="0.2">
      <c r="A1" t="s">
        <v>0</v>
      </c>
      <c r="B1" t="s">
        <v>248</v>
      </c>
      <c r="C1" t="s">
        <v>249</v>
      </c>
      <c r="D1" t="s">
        <v>250</v>
      </c>
      <c r="E1" t="s">
        <v>3</v>
      </c>
      <c r="F1" s="3" t="s">
        <v>288</v>
      </c>
      <c r="G1" t="s">
        <v>289</v>
      </c>
      <c r="H1" t="s">
        <v>290</v>
      </c>
      <c r="I1" t="s">
        <v>291</v>
      </c>
    </row>
    <row r="2" spans="1:9" hidden="1" x14ac:dyDescent="0.2">
      <c r="A2" s="1">
        <v>46174</v>
      </c>
      <c r="B2" t="s">
        <v>258</v>
      </c>
      <c r="C2" t="s">
        <v>259</v>
      </c>
      <c r="D2" t="s">
        <v>7</v>
      </c>
      <c r="E2" s="2">
        <v>-8067.99</v>
      </c>
      <c r="F2" s="3">
        <f>_xlfn.XLOOKUP(Cash[[#This Row],[DocNo]],bank_statement_jun2026!C:C,bank_statement_jun2026!D:D,"Not Found")</f>
        <v>-8067.99</v>
      </c>
      <c r="G2" t="str">
        <f t="shared" ref="G2:G65" si="0">IF(F2="Not Found","Missing from Bank",IF(ROUND(E2,2)=ROUND(F2,2),"Matched","Difference"))</f>
        <v>Matched</v>
      </c>
      <c r="H2" s="6">
        <f t="shared" ref="H2:H65" si="1">IF(ISNUMBER(F2),ROUND(E2-F2,2),"")</f>
        <v>0</v>
      </c>
    </row>
    <row r="3" spans="1:9" hidden="1" x14ac:dyDescent="0.2">
      <c r="A3" s="1">
        <v>46174</v>
      </c>
      <c r="B3" t="s">
        <v>258</v>
      </c>
      <c r="C3" t="s">
        <v>260</v>
      </c>
      <c r="D3" t="s">
        <v>5</v>
      </c>
      <c r="E3" s="2">
        <v>-10230.18</v>
      </c>
      <c r="F3" s="3">
        <f>_xlfn.XLOOKUP(Cash[[#This Row],[DocNo]],bank_statement_jun2026!C:C,bank_statement_jun2026!D:D,"Not Found")</f>
        <v>-10230.18</v>
      </c>
      <c r="G3" t="str">
        <f t="shared" si="0"/>
        <v>Matched</v>
      </c>
      <c r="H3" s="6">
        <f t="shared" si="1"/>
        <v>0</v>
      </c>
    </row>
    <row r="4" spans="1:9" hidden="1" x14ac:dyDescent="0.2">
      <c r="A4" s="1">
        <v>46174</v>
      </c>
      <c r="B4" t="s">
        <v>258</v>
      </c>
      <c r="C4" t="s">
        <v>261</v>
      </c>
      <c r="D4" t="s">
        <v>9</v>
      </c>
      <c r="E4" s="2">
        <v>88790.68</v>
      </c>
      <c r="F4" s="3">
        <f>_xlfn.XLOOKUP(Cash[[#This Row],[DocNo]],bank_statement_jun2026!C:C,bank_statement_jun2026!D:D,"Not Found")</f>
        <v>88790.68</v>
      </c>
      <c r="G4" t="str">
        <f t="shared" si="0"/>
        <v>Matched</v>
      </c>
      <c r="H4" s="6">
        <f t="shared" si="1"/>
        <v>0</v>
      </c>
    </row>
    <row r="5" spans="1:9" hidden="1" x14ac:dyDescent="0.2">
      <c r="A5" s="1">
        <v>46174</v>
      </c>
      <c r="B5" t="s">
        <v>258</v>
      </c>
      <c r="C5" t="s">
        <v>262</v>
      </c>
      <c r="D5" t="s">
        <v>11</v>
      </c>
      <c r="E5" s="2">
        <v>-12217.56</v>
      </c>
      <c r="F5" s="3">
        <f>_xlfn.XLOOKUP(Cash[[#This Row],[DocNo]],bank_statement_jun2026!C:C,bank_statement_jun2026!D:D,"Not Found")</f>
        <v>-12217.56</v>
      </c>
      <c r="G5" t="str">
        <f t="shared" si="0"/>
        <v>Matched</v>
      </c>
      <c r="H5" s="6">
        <f t="shared" si="1"/>
        <v>0</v>
      </c>
    </row>
    <row r="6" spans="1:9" hidden="1" x14ac:dyDescent="0.2">
      <c r="A6" s="1">
        <v>46175</v>
      </c>
      <c r="B6" t="s">
        <v>258</v>
      </c>
      <c r="C6" t="s">
        <v>263</v>
      </c>
      <c r="D6" t="s">
        <v>17</v>
      </c>
      <c r="E6" s="2">
        <v>-5365.64</v>
      </c>
      <c r="F6" s="3">
        <f>_xlfn.XLOOKUP(Cash[[#This Row],[DocNo]],bank_statement_jun2026!C:C,bank_statement_jun2026!D:D,"Not Found")</f>
        <v>-5365.64</v>
      </c>
      <c r="G6" t="str">
        <f t="shared" si="0"/>
        <v>Matched</v>
      </c>
      <c r="H6" s="6">
        <f t="shared" si="1"/>
        <v>0</v>
      </c>
    </row>
    <row r="7" spans="1:9" hidden="1" x14ac:dyDescent="0.2">
      <c r="A7" s="1">
        <v>46175</v>
      </c>
      <c r="B7" t="s">
        <v>258</v>
      </c>
      <c r="C7" t="s">
        <v>264</v>
      </c>
      <c r="D7" t="s">
        <v>13</v>
      </c>
      <c r="E7" s="2">
        <v>-17040.77</v>
      </c>
      <c r="F7" s="3">
        <f>_xlfn.XLOOKUP(Cash[[#This Row],[DocNo]],bank_statement_jun2026!C:C,bank_statement_jun2026!D:D,"Not Found")</f>
        <v>-17040.77</v>
      </c>
      <c r="G7" t="str">
        <f t="shared" si="0"/>
        <v>Matched</v>
      </c>
      <c r="H7" s="6">
        <f t="shared" si="1"/>
        <v>0</v>
      </c>
    </row>
    <row r="8" spans="1:9" hidden="1" x14ac:dyDescent="0.2">
      <c r="A8" s="1">
        <v>46175</v>
      </c>
      <c r="B8" t="s">
        <v>258</v>
      </c>
      <c r="C8" t="s">
        <v>265</v>
      </c>
      <c r="D8" t="s">
        <v>15</v>
      </c>
      <c r="E8" s="2">
        <v>88411.47</v>
      </c>
      <c r="F8" s="3">
        <f>_xlfn.XLOOKUP(Cash[[#This Row],[DocNo]],bank_statement_jun2026!C:C,bank_statement_jun2026!D:D,"Not Found")</f>
        <v>88411.47</v>
      </c>
      <c r="G8" t="str">
        <f t="shared" si="0"/>
        <v>Matched</v>
      </c>
      <c r="H8" s="6">
        <f t="shared" si="1"/>
        <v>0</v>
      </c>
    </row>
    <row r="9" spans="1:9" hidden="1" x14ac:dyDescent="0.2">
      <c r="A9" s="1">
        <v>46176</v>
      </c>
      <c r="B9" t="s">
        <v>258</v>
      </c>
      <c r="C9" t="s">
        <v>266</v>
      </c>
      <c r="D9" t="s">
        <v>23</v>
      </c>
      <c r="E9" s="2">
        <v>-12316.92</v>
      </c>
      <c r="F9" s="3">
        <f>_xlfn.XLOOKUP(Cash[[#This Row],[DocNo]],bank_statement_jun2026!C:C,bank_statement_jun2026!D:D,"Not Found")</f>
        <v>-12316.92</v>
      </c>
      <c r="G9" t="str">
        <f t="shared" si="0"/>
        <v>Matched</v>
      </c>
      <c r="H9" s="6">
        <f t="shared" si="1"/>
        <v>0</v>
      </c>
    </row>
    <row r="10" spans="1:9" hidden="1" x14ac:dyDescent="0.2">
      <c r="A10" s="1">
        <v>46176</v>
      </c>
      <c r="B10" t="s">
        <v>258</v>
      </c>
      <c r="C10" t="s">
        <v>259</v>
      </c>
      <c r="D10" t="s">
        <v>25</v>
      </c>
      <c r="E10" s="2">
        <v>-20094.18</v>
      </c>
      <c r="F10" s="3">
        <f>_xlfn.XLOOKUP(Cash[[#This Row],[DocNo]],bank_statement_jun2026!C:C,bank_statement_jun2026!D:D,"Not Found")</f>
        <v>-20094.18</v>
      </c>
      <c r="G10" t="str">
        <f t="shared" si="0"/>
        <v>Matched</v>
      </c>
      <c r="H10" s="6">
        <f t="shared" si="1"/>
        <v>0</v>
      </c>
    </row>
    <row r="11" spans="1:9" hidden="1" x14ac:dyDescent="0.2">
      <c r="A11" s="1">
        <v>46176</v>
      </c>
      <c r="B11" t="s">
        <v>258</v>
      </c>
      <c r="C11" t="s">
        <v>261</v>
      </c>
      <c r="D11" t="s">
        <v>21</v>
      </c>
      <c r="E11" s="2">
        <v>102367.19</v>
      </c>
      <c r="F11" s="3">
        <f>_xlfn.XLOOKUP(Cash[[#This Row],[DocNo]],bank_statement_jun2026!C:C,bank_statement_jun2026!D:D,"Not Found")</f>
        <v>102367.19</v>
      </c>
      <c r="G11" t="str">
        <f t="shared" si="0"/>
        <v>Matched</v>
      </c>
      <c r="H11" s="6">
        <f t="shared" si="1"/>
        <v>0</v>
      </c>
    </row>
    <row r="12" spans="1:9" hidden="1" x14ac:dyDescent="0.2">
      <c r="A12" s="1">
        <v>46176</v>
      </c>
      <c r="B12" t="s">
        <v>258</v>
      </c>
      <c r="C12" t="s">
        <v>262</v>
      </c>
      <c r="D12" t="s">
        <v>19</v>
      </c>
      <c r="E12" s="2">
        <v>-21094.19</v>
      </c>
      <c r="F12" s="3">
        <f>_xlfn.XLOOKUP(Cash[[#This Row],[DocNo]],bank_statement_jun2026!C:C,bank_statement_jun2026!D:D,"Not Found")</f>
        <v>-21094.19</v>
      </c>
      <c r="G12" t="str">
        <f t="shared" si="0"/>
        <v>Matched</v>
      </c>
      <c r="H12" s="6">
        <f t="shared" si="1"/>
        <v>0</v>
      </c>
    </row>
    <row r="13" spans="1:9" hidden="1" x14ac:dyDescent="0.2">
      <c r="A13" s="1">
        <v>46177</v>
      </c>
      <c r="B13" t="s">
        <v>258</v>
      </c>
      <c r="C13" t="s">
        <v>267</v>
      </c>
      <c r="D13" t="s">
        <v>27</v>
      </c>
      <c r="E13" s="2">
        <v>-4183.67</v>
      </c>
      <c r="F13" s="3">
        <f>_xlfn.XLOOKUP(Cash[[#This Row],[DocNo]],bank_statement_jun2026!C:C,bank_statement_jun2026!D:D,"Not Found")</f>
        <v>-4183.58</v>
      </c>
      <c r="G13" t="str">
        <f t="shared" si="0"/>
        <v>Difference</v>
      </c>
      <c r="H13" s="2">
        <f t="shared" si="1"/>
        <v>-0.09</v>
      </c>
      <c r="I13" t="s">
        <v>305</v>
      </c>
    </row>
    <row r="14" spans="1:9" hidden="1" x14ac:dyDescent="0.2">
      <c r="A14" s="1">
        <v>46177</v>
      </c>
      <c r="B14" t="s">
        <v>258</v>
      </c>
      <c r="C14" t="s">
        <v>266</v>
      </c>
      <c r="D14" t="s">
        <v>29</v>
      </c>
      <c r="E14" s="2">
        <v>-6479.58</v>
      </c>
      <c r="F14" s="3">
        <f>_xlfn.XLOOKUP(Cash[[#This Row],[DocNo]],bank_statement_jun2026!C:C,bank_statement_jun2026!D:D,"Not Found")</f>
        <v>-6479.58</v>
      </c>
      <c r="G14" t="str">
        <f t="shared" si="0"/>
        <v>Matched</v>
      </c>
      <c r="H14" s="6">
        <f t="shared" si="1"/>
        <v>0</v>
      </c>
    </row>
    <row r="15" spans="1:9" hidden="1" x14ac:dyDescent="0.2">
      <c r="A15" s="1">
        <v>46177</v>
      </c>
      <c r="B15" t="s">
        <v>258</v>
      </c>
      <c r="C15" t="s">
        <v>262</v>
      </c>
      <c r="D15" t="s">
        <v>33</v>
      </c>
      <c r="E15" s="2">
        <v>-3503.79</v>
      </c>
      <c r="F15" s="3">
        <f>_xlfn.XLOOKUP(Cash[[#This Row],[DocNo]],bank_statement_jun2026!C:C,bank_statement_jun2026!D:D,"Not Found")</f>
        <v>-3503.79</v>
      </c>
      <c r="G15" t="str">
        <f t="shared" si="0"/>
        <v>Matched</v>
      </c>
      <c r="H15" s="6">
        <f t="shared" si="1"/>
        <v>0</v>
      </c>
    </row>
    <row r="16" spans="1:9" hidden="1" x14ac:dyDescent="0.2">
      <c r="A16" s="1">
        <v>46177</v>
      </c>
      <c r="B16" t="s">
        <v>258</v>
      </c>
      <c r="C16" t="s">
        <v>268</v>
      </c>
      <c r="D16" t="s">
        <v>31</v>
      </c>
      <c r="E16" s="2">
        <v>-12272.98</v>
      </c>
      <c r="F16" s="3">
        <f>_xlfn.XLOOKUP(Cash[[#This Row],[DocNo]],bank_statement_jun2026!C:C,bank_statement_jun2026!D:D,"Not Found")</f>
        <v>-12272.98</v>
      </c>
      <c r="G16" t="str">
        <f t="shared" si="0"/>
        <v>Matched</v>
      </c>
      <c r="H16" s="6">
        <f t="shared" si="1"/>
        <v>0</v>
      </c>
    </row>
    <row r="17" spans="1:8" hidden="1" x14ac:dyDescent="0.2">
      <c r="A17" s="1">
        <v>46178</v>
      </c>
      <c r="B17" t="s">
        <v>258</v>
      </c>
      <c r="C17" t="s">
        <v>267</v>
      </c>
      <c r="D17" t="s">
        <v>77</v>
      </c>
      <c r="E17" s="2">
        <v>-16110.81</v>
      </c>
      <c r="F17" s="3">
        <f>_xlfn.XLOOKUP(Cash[[#This Row],[DocNo]],bank_statement_jun2026!C:C,bank_statement_jun2026!D:D,"Not Found")</f>
        <v>-16110.81</v>
      </c>
      <c r="G17" t="str">
        <f t="shared" si="0"/>
        <v>Matched</v>
      </c>
      <c r="H17" s="6">
        <f t="shared" si="1"/>
        <v>0</v>
      </c>
    </row>
    <row r="18" spans="1:8" hidden="1" x14ac:dyDescent="0.2">
      <c r="A18" s="1">
        <v>46178</v>
      </c>
      <c r="B18" t="s">
        <v>258</v>
      </c>
      <c r="C18" t="s">
        <v>269</v>
      </c>
      <c r="D18" t="s">
        <v>35</v>
      </c>
      <c r="E18" s="2">
        <v>77425.86</v>
      </c>
      <c r="F18" s="3">
        <f>_xlfn.XLOOKUP(Cash[[#This Row],[DocNo]],bank_statement_jun2026!C:C,bank_statement_jun2026!D:D,"Not Found")</f>
        <v>77425.86</v>
      </c>
      <c r="G18" t="str">
        <f t="shared" si="0"/>
        <v>Matched</v>
      </c>
      <c r="H18" s="6">
        <f t="shared" si="1"/>
        <v>0</v>
      </c>
    </row>
    <row r="19" spans="1:8" hidden="1" x14ac:dyDescent="0.2">
      <c r="A19" s="1">
        <v>46178</v>
      </c>
      <c r="B19" t="s">
        <v>258</v>
      </c>
      <c r="C19" t="s">
        <v>270</v>
      </c>
      <c r="D19" t="s">
        <v>37</v>
      </c>
      <c r="E19" s="2">
        <v>-14685.67</v>
      </c>
      <c r="F19" s="3">
        <f>_xlfn.XLOOKUP(Cash[[#This Row],[DocNo]],bank_statement_jun2026!C:C,bank_statement_jun2026!D:D,"Not Found")</f>
        <v>-14685.67</v>
      </c>
      <c r="G19" t="str">
        <f t="shared" si="0"/>
        <v>Matched</v>
      </c>
      <c r="H19" s="6">
        <f t="shared" si="1"/>
        <v>0</v>
      </c>
    </row>
    <row r="20" spans="1:8" hidden="1" x14ac:dyDescent="0.2">
      <c r="A20" s="1">
        <v>46178</v>
      </c>
      <c r="B20" t="s">
        <v>258</v>
      </c>
      <c r="C20" t="s">
        <v>262</v>
      </c>
      <c r="D20" t="s">
        <v>39</v>
      </c>
      <c r="E20" s="2">
        <v>-6506.94</v>
      </c>
      <c r="F20" s="3">
        <f>_xlfn.XLOOKUP(Cash[[#This Row],[DocNo]],bank_statement_jun2026!C:C,bank_statement_jun2026!D:D,"Not Found")</f>
        <v>-6506.94</v>
      </c>
      <c r="G20" t="str">
        <f t="shared" si="0"/>
        <v>Matched</v>
      </c>
      <c r="H20" s="6">
        <f t="shared" si="1"/>
        <v>0</v>
      </c>
    </row>
    <row r="21" spans="1:8" hidden="1" x14ac:dyDescent="0.2">
      <c r="A21" s="1">
        <v>46181</v>
      </c>
      <c r="B21" t="s">
        <v>258</v>
      </c>
      <c r="C21" t="s">
        <v>267</v>
      </c>
      <c r="D21" t="s">
        <v>53</v>
      </c>
      <c r="E21" s="2">
        <v>-14193.51</v>
      </c>
      <c r="F21" s="3">
        <f>_xlfn.XLOOKUP(Cash[[#This Row],[DocNo]],bank_statement_jun2026!C:C,bank_statement_jun2026!D:D,"Not Found")</f>
        <v>-14193.51</v>
      </c>
      <c r="G21" t="str">
        <f t="shared" si="0"/>
        <v>Matched</v>
      </c>
      <c r="H21" s="6">
        <f t="shared" si="1"/>
        <v>0</v>
      </c>
    </row>
    <row r="22" spans="1:8" hidden="1" x14ac:dyDescent="0.2">
      <c r="A22" s="1">
        <v>46181</v>
      </c>
      <c r="B22" t="s">
        <v>258</v>
      </c>
      <c r="C22" t="s">
        <v>269</v>
      </c>
      <c r="D22" t="s">
        <v>49</v>
      </c>
      <c r="E22" s="2">
        <v>109123.56</v>
      </c>
      <c r="F22" s="3">
        <f>_xlfn.XLOOKUP(Cash[[#This Row],[DocNo]],bank_statement_jun2026!C:C,bank_statement_jun2026!D:D,"Not Found")</f>
        <v>109123.56</v>
      </c>
      <c r="G22" t="str">
        <f t="shared" si="0"/>
        <v>Matched</v>
      </c>
      <c r="H22" s="6">
        <f t="shared" si="1"/>
        <v>0</v>
      </c>
    </row>
    <row r="23" spans="1:8" hidden="1" x14ac:dyDescent="0.2">
      <c r="A23" s="1">
        <v>46181</v>
      </c>
      <c r="B23" t="s">
        <v>258</v>
      </c>
      <c r="C23" t="s">
        <v>269</v>
      </c>
      <c r="D23" t="s">
        <v>51</v>
      </c>
      <c r="E23" s="2">
        <v>104277.78</v>
      </c>
      <c r="F23" s="3">
        <f>_xlfn.XLOOKUP(Cash[[#This Row],[DocNo]],bank_statement_jun2026!C:C,bank_statement_jun2026!D:D,"Not Found")</f>
        <v>104277.78</v>
      </c>
      <c r="G23" t="str">
        <f t="shared" si="0"/>
        <v>Matched</v>
      </c>
      <c r="H23" s="6">
        <f t="shared" si="1"/>
        <v>0</v>
      </c>
    </row>
    <row r="24" spans="1:8" hidden="1" x14ac:dyDescent="0.2">
      <c r="A24" s="1">
        <v>46181</v>
      </c>
      <c r="B24" t="s">
        <v>258</v>
      </c>
      <c r="C24" t="s">
        <v>271</v>
      </c>
      <c r="D24" t="s">
        <v>43</v>
      </c>
      <c r="E24" s="2">
        <v>-19414.580000000002</v>
      </c>
      <c r="F24" s="3">
        <f>_xlfn.XLOOKUP(Cash[[#This Row],[DocNo]],bank_statement_jun2026!C:C,bank_statement_jun2026!D:D,"Not Found")</f>
        <v>-19414.580000000002</v>
      </c>
      <c r="G24" t="str">
        <f t="shared" si="0"/>
        <v>Matched</v>
      </c>
      <c r="H24" s="6">
        <f t="shared" si="1"/>
        <v>0</v>
      </c>
    </row>
    <row r="25" spans="1:8" hidden="1" x14ac:dyDescent="0.2">
      <c r="A25" s="1">
        <v>46181</v>
      </c>
      <c r="B25" t="s">
        <v>258</v>
      </c>
      <c r="C25" t="s">
        <v>263</v>
      </c>
      <c r="D25" t="s">
        <v>57</v>
      </c>
      <c r="E25" s="2">
        <v>-23647.98</v>
      </c>
      <c r="F25" s="3">
        <f>_xlfn.XLOOKUP(Cash[[#This Row],[DocNo]],bank_statement_jun2026!C:C,bank_statement_jun2026!D:D,"Not Found")</f>
        <v>-23647.98</v>
      </c>
      <c r="G25" t="str">
        <f t="shared" si="0"/>
        <v>Matched</v>
      </c>
      <c r="H25" s="6">
        <f t="shared" si="1"/>
        <v>0</v>
      </c>
    </row>
    <row r="26" spans="1:8" hidden="1" x14ac:dyDescent="0.2">
      <c r="A26" s="1">
        <v>46181</v>
      </c>
      <c r="B26" t="s">
        <v>258</v>
      </c>
      <c r="C26" t="s">
        <v>263</v>
      </c>
      <c r="D26" t="s">
        <v>59</v>
      </c>
      <c r="E26" s="2">
        <v>-13386.11</v>
      </c>
      <c r="F26" s="3">
        <f>_xlfn.XLOOKUP(Cash[[#This Row],[DocNo]],bank_statement_jun2026!C:C,bank_statement_jun2026!D:D,"Not Found")</f>
        <v>-13386.11</v>
      </c>
      <c r="G26" t="str">
        <f t="shared" si="0"/>
        <v>Matched</v>
      </c>
      <c r="H26" s="6">
        <f t="shared" si="1"/>
        <v>0</v>
      </c>
    </row>
    <row r="27" spans="1:8" hidden="1" x14ac:dyDescent="0.2">
      <c r="A27" s="1">
        <v>46181</v>
      </c>
      <c r="B27" t="s">
        <v>258</v>
      </c>
      <c r="C27" t="s">
        <v>270</v>
      </c>
      <c r="D27" t="s">
        <v>45</v>
      </c>
      <c r="E27" s="2">
        <v>-2088.2600000000002</v>
      </c>
      <c r="F27" s="3">
        <f>_xlfn.XLOOKUP(Cash[[#This Row],[DocNo]],bank_statement_jun2026!C:C,bank_statement_jun2026!D:D,"Not Found")</f>
        <v>-2088.2600000000002</v>
      </c>
      <c r="G27" t="str">
        <f t="shared" si="0"/>
        <v>Matched</v>
      </c>
      <c r="H27" s="6">
        <f t="shared" si="1"/>
        <v>0</v>
      </c>
    </row>
    <row r="28" spans="1:8" hidden="1" x14ac:dyDescent="0.2">
      <c r="A28" s="1">
        <v>46181</v>
      </c>
      <c r="B28" t="s">
        <v>258</v>
      </c>
      <c r="C28" t="s">
        <v>272</v>
      </c>
      <c r="D28" t="s">
        <v>61</v>
      </c>
      <c r="E28" s="2">
        <v>-5184.0200000000004</v>
      </c>
      <c r="F28" s="3">
        <f>_xlfn.XLOOKUP(Cash[[#This Row],[DocNo]],bank_statement_jun2026!C:C,bank_statement_jun2026!D:D,"Not Found")</f>
        <v>-5184.0200000000004</v>
      </c>
      <c r="G28" t="str">
        <f t="shared" si="0"/>
        <v>Matched</v>
      </c>
      <c r="H28" s="6">
        <f t="shared" si="1"/>
        <v>0</v>
      </c>
    </row>
    <row r="29" spans="1:8" hidden="1" x14ac:dyDescent="0.2">
      <c r="A29" s="1">
        <v>46181</v>
      </c>
      <c r="B29" t="s">
        <v>258</v>
      </c>
      <c r="C29" t="s">
        <v>273</v>
      </c>
      <c r="D29" t="s">
        <v>63</v>
      </c>
      <c r="E29" s="2">
        <v>-6891.43</v>
      </c>
      <c r="F29" s="3">
        <f>_xlfn.XLOOKUP(Cash[[#This Row],[DocNo]],bank_statement_jun2026!C:C,bank_statement_jun2026!D:D,"Not Found")</f>
        <v>-6891.43</v>
      </c>
      <c r="G29" t="str">
        <f t="shared" si="0"/>
        <v>Matched</v>
      </c>
      <c r="H29" s="6">
        <f t="shared" si="1"/>
        <v>0</v>
      </c>
    </row>
    <row r="30" spans="1:8" hidden="1" x14ac:dyDescent="0.2">
      <c r="A30" s="1">
        <v>46181</v>
      </c>
      <c r="B30" t="s">
        <v>258</v>
      </c>
      <c r="C30" t="s">
        <v>274</v>
      </c>
      <c r="D30" t="s">
        <v>47</v>
      </c>
      <c r="E30" s="2">
        <v>-20631.689999999999</v>
      </c>
      <c r="F30" s="3">
        <f>_xlfn.XLOOKUP(Cash[[#This Row],[DocNo]],bank_statement_jun2026!C:C,bank_statement_jun2026!D:D,"Not Found")</f>
        <v>-20631.689999999999</v>
      </c>
      <c r="G30" t="str">
        <f t="shared" si="0"/>
        <v>Matched</v>
      </c>
      <c r="H30" s="6">
        <f t="shared" si="1"/>
        <v>0</v>
      </c>
    </row>
    <row r="31" spans="1:8" hidden="1" x14ac:dyDescent="0.2">
      <c r="A31" s="1">
        <v>46181</v>
      </c>
      <c r="B31" t="s">
        <v>258</v>
      </c>
      <c r="C31" t="s">
        <v>262</v>
      </c>
      <c r="D31" t="s">
        <v>75</v>
      </c>
      <c r="E31" s="2">
        <v>-14595.51</v>
      </c>
      <c r="F31" s="3">
        <f>_xlfn.XLOOKUP(Cash[[#This Row],[DocNo]],bank_statement_jun2026!C:C,bank_statement_jun2026!D:D,"Not Found")</f>
        <v>-14595.51</v>
      </c>
      <c r="G31" t="str">
        <f t="shared" si="0"/>
        <v>Matched</v>
      </c>
      <c r="H31" s="6">
        <f t="shared" si="1"/>
        <v>0</v>
      </c>
    </row>
    <row r="32" spans="1:8" hidden="1" x14ac:dyDescent="0.2">
      <c r="A32" s="1">
        <v>46181</v>
      </c>
      <c r="B32" t="s">
        <v>258</v>
      </c>
      <c r="C32" t="s">
        <v>275</v>
      </c>
      <c r="D32" t="s">
        <v>67</v>
      </c>
      <c r="E32" s="2">
        <v>-21676.19</v>
      </c>
      <c r="F32" s="3">
        <f>_xlfn.XLOOKUP(Cash[[#This Row],[DocNo]],bank_statement_jun2026!C:C,bank_statement_jun2026!D:D,"Not Found")</f>
        <v>-21676.19</v>
      </c>
      <c r="G32" t="str">
        <f t="shared" si="0"/>
        <v>Matched</v>
      </c>
      <c r="H32" s="6">
        <f t="shared" si="1"/>
        <v>0</v>
      </c>
    </row>
    <row r="33" spans="1:8" hidden="1" x14ac:dyDescent="0.2">
      <c r="A33" s="1">
        <v>46181</v>
      </c>
      <c r="B33" t="s">
        <v>258</v>
      </c>
      <c r="C33" t="s">
        <v>264</v>
      </c>
      <c r="D33" t="s">
        <v>55</v>
      </c>
      <c r="E33" s="2">
        <v>-16263.56</v>
      </c>
      <c r="F33" s="3">
        <f>_xlfn.XLOOKUP(Cash[[#This Row],[DocNo]],bank_statement_jun2026!C:C,bank_statement_jun2026!D:D,"Not Found")</f>
        <v>-16263.56</v>
      </c>
      <c r="G33" t="str">
        <f t="shared" si="0"/>
        <v>Matched</v>
      </c>
      <c r="H33" s="6">
        <f t="shared" si="1"/>
        <v>0</v>
      </c>
    </row>
    <row r="34" spans="1:8" hidden="1" x14ac:dyDescent="0.2">
      <c r="A34" s="1">
        <v>46181</v>
      </c>
      <c r="B34" t="s">
        <v>258</v>
      </c>
      <c r="C34" t="s">
        <v>276</v>
      </c>
      <c r="D34" t="s">
        <v>65</v>
      </c>
      <c r="E34" s="2">
        <v>-6102.99</v>
      </c>
      <c r="F34" s="3">
        <f>_xlfn.XLOOKUP(Cash[[#This Row],[DocNo]],bank_statement_jun2026!C:C,bank_statement_jun2026!D:D,"Not Found")</f>
        <v>-6102.99</v>
      </c>
      <c r="G34" t="str">
        <f t="shared" si="0"/>
        <v>Matched</v>
      </c>
      <c r="H34" s="6">
        <f t="shared" si="1"/>
        <v>0</v>
      </c>
    </row>
    <row r="35" spans="1:8" hidden="1" x14ac:dyDescent="0.2">
      <c r="A35" s="1">
        <v>46181</v>
      </c>
      <c r="B35" t="s">
        <v>258</v>
      </c>
      <c r="C35" t="s">
        <v>277</v>
      </c>
      <c r="D35" t="s">
        <v>41</v>
      </c>
      <c r="E35" s="2">
        <v>-3062.32</v>
      </c>
      <c r="F35" s="3">
        <f>_xlfn.XLOOKUP(Cash[[#This Row],[DocNo]],bank_statement_jun2026!C:C,bank_statement_jun2026!D:D,"Not Found")</f>
        <v>-3062.32</v>
      </c>
      <c r="G35" t="str">
        <f t="shared" si="0"/>
        <v>Matched</v>
      </c>
      <c r="H35" s="6">
        <f t="shared" si="1"/>
        <v>0</v>
      </c>
    </row>
    <row r="36" spans="1:8" hidden="1" x14ac:dyDescent="0.2">
      <c r="A36" s="1">
        <v>46181</v>
      </c>
      <c r="B36" t="s">
        <v>258</v>
      </c>
      <c r="C36" t="s">
        <v>277</v>
      </c>
      <c r="D36" t="s">
        <v>101</v>
      </c>
      <c r="E36" s="2">
        <v>-8175.43</v>
      </c>
      <c r="F36" s="3">
        <f>_xlfn.XLOOKUP(Cash[[#This Row],[DocNo]],bank_statement_jun2026!C:C,bank_statement_jun2026!D:D,"Not Found")</f>
        <v>-8175.43</v>
      </c>
      <c r="G36" t="str">
        <f t="shared" si="0"/>
        <v>Matched</v>
      </c>
      <c r="H36" s="6">
        <f t="shared" si="1"/>
        <v>0</v>
      </c>
    </row>
    <row r="37" spans="1:8" hidden="1" x14ac:dyDescent="0.2">
      <c r="A37" s="1">
        <v>46182</v>
      </c>
      <c r="B37" t="s">
        <v>258</v>
      </c>
      <c r="C37" t="s">
        <v>269</v>
      </c>
      <c r="D37" t="s">
        <v>79</v>
      </c>
      <c r="E37" s="2">
        <v>70486.820000000007</v>
      </c>
      <c r="F37" s="3">
        <f>_xlfn.XLOOKUP(Cash[[#This Row],[DocNo]],bank_statement_jun2026!C:C,bank_statement_jun2026!D:D,"Not Found")</f>
        <v>70486.820000000007</v>
      </c>
      <c r="G37" t="str">
        <f t="shared" si="0"/>
        <v>Matched</v>
      </c>
      <c r="H37" s="6">
        <f t="shared" si="1"/>
        <v>0</v>
      </c>
    </row>
    <row r="38" spans="1:8" hidden="1" x14ac:dyDescent="0.2">
      <c r="A38" s="1">
        <v>46182</v>
      </c>
      <c r="B38" t="s">
        <v>258</v>
      </c>
      <c r="C38" t="s">
        <v>272</v>
      </c>
      <c r="D38" t="s">
        <v>83</v>
      </c>
      <c r="E38" s="2">
        <v>-5170.46</v>
      </c>
      <c r="F38" s="3">
        <f>_xlfn.XLOOKUP(Cash[[#This Row],[DocNo]],bank_statement_jun2026!C:C,bank_statement_jun2026!D:D,"Not Found")</f>
        <v>-5170.46</v>
      </c>
      <c r="G38" t="str">
        <f t="shared" si="0"/>
        <v>Matched</v>
      </c>
      <c r="H38" s="6">
        <f t="shared" si="1"/>
        <v>0</v>
      </c>
    </row>
    <row r="39" spans="1:8" hidden="1" x14ac:dyDescent="0.2">
      <c r="A39" s="1">
        <v>46182</v>
      </c>
      <c r="B39" t="s">
        <v>258</v>
      </c>
      <c r="C39" t="s">
        <v>259</v>
      </c>
      <c r="D39" t="s">
        <v>69</v>
      </c>
      <c r="E39" s="2">
        <v>-5257.34</v>
      </c>
      <c r="F39" s="3">
        <f>_xlfn.XLOOKUP(Cash[[#This Row],[DocNo]],bank_statement_jun2026!C:C,bank_statement_jun2026!D:D,"Not Found")</f>
        <v>-5257.34</v>
      </c>
      <c r="G39" t="str">
        <f t="shared" si="0"/>
        <v>Matched</v>
      </c>
      <c r="H39" s="6">
        <f t="shared" si="1"/>
        <v>0</v>
      </c>
    </row>
    <row r="40" spans="1:8" hidden="1" x14ac:dyDescent="0.2">
      <c r="A40" s="1">
        <v>46182</v>
      </c>
      <c r="B40" t="s">
        <v>258</v>
      </c>
      <c r="C40" t="s">
        <v>273</v>
      </c>
      <c r="D40" t="s">
        <v>73</v>
      </c>
      <c r="E40" s="2">
        <v>-4433.49</v>
      </c>
      <c r="F40" s="3">
        <f>_xlfn.XLOOKUP(Cash[[#This Row],[DocNo]],bank_statement_jun2026!C:C,bank_statement_jun2026!D:D,"Not Found")</f>
        <v>-4433.49</v>
      </c>
      <c r="G40" t="str">
        <f t="shared" si="0"/>
        <v>Matched</v>
      </c>
      <c r="H40" s="6">
        <f t="shared" si="1"/>
        <v>0</v>
      </c>
    </row>
    <row r="41" spans="1:8" hidden="1" x14ac:dyDescent="0.2">
      <c r="A41" s="1">
        <v>46182</v>
      </c>
      <c r="B41" t="s">
        <v>258</v>
      </c>
      <c r="C41" t="s">
        <v>261</v>
      </c>
      <c r="D41" t="s">
        <v>81</v>
      </c>
      <c r="E41" s="2">
        <v>27250.97</v>
      </c>
      <c r="F41" s="3">
        <f>_xlfn.XLOOKUP(Cash[[#This Row],[DocNo]],bank_statement_jun2026!C:C,bank_statement_jun2026!D:D,"Not Found")</f>
        <v>27250.97</v>
      </c>
      <c r="G41" t="str">
        <f t="shared" si="0"/>
        <v>Matched</v>
      </c>
      <c r="H41" s="6">
        <f t="shared" si="1"/>
        <v>0</v>
      </c>
    </row>
    <row r="42" spans="1:8" hidden="1" x14ac:dyDescent="0.2">
      <c r="A42" s="1">
        <v>46182</v>
      </c>
      <c r="B42" t="s">
        <v>258</v>
      </c>
      <c r="C42" t="s">
        <v>262</v>
      </c>
      <c r="D42" t="s">
        <v>85</v>
      </c>
      <c r="E42" s="2">
        <v>-10880.16</v>
      </c>
      <c r="F42" s="3">
        <f>_xlfn.XLOOKUP(Cash[[#This Row],[DocNo]],bank_statement_jun2026!C:C,bank_statement_jun2026!D:D,"Not Found")</f>
        <v>-10880.16</v>
      </c>
      <c r="G42" t="str">
        <f t="shared" si="0"/>
        <v>Matched</v>
      </c>
      <c r="H42" s="6">
        <f t="shared" si="1"/>
        <v>0</v>
      </c>
    </row>
    <row r="43" spans="1:8" hidden="1" x14ac:dyDescent="0.2">
      <c r="A43" s="1">
        <v>46182</v>
      </c>
      <c r="B43" t="s">
        <v>258</v>
      </c>
      <c r="C43" t="s">
        <v>275</v>
      </c>
      <c r="D43" t="s">
        <v>91</v>
      </c>
      <c r="E43" s="2">
        <v>-9101.0400000000009</v>
      </c>
      <c r="F43" s="3">
        <f>_xlfn.XLOOKUP(Cash[[#This Row],[DocNo]],bank_statement_jun2026!C:C,bank_statement_jun2026!D:D,"Not Found")</f>
        <v>-9101.0400000000009</v>
      </c>
      <c r="G43" t="str">
        <f t="shared" si="0"/>
        <v>Matched</v>
      </c>
      <c r="H43" s="6">
        <f t="shared" si="1"/>
        <v>0</v>
      </c>
    </row>
    <row r="44" spans="1:8" hidden="1" x14ac:dyDescent="0.2">
      <c r="A44" s="1">
        <v>46182</v>
      </c>
      <c r="B44" t="s">
        <v>258</v>
      </c>
      <c r="C44" t="s">
        <v>264</v>
      </c>
      <c r="D44" t="s">
        <v>71</v>
      </c>
      <c r="E44" s="2">
        <v>-15288.66</v>
      </c>
      <c r="F44" s="3">
        <f>_xlfn.XLOOKUP(Cash[[#This Row],[DocNo]],bank_statement_jun2026!C:C,bank_statement_jun2026!D:D,"Not Found")</f>
        <v>-15288.66</v>
      </c>
      <c r="G44" t="str">
        <f t="shared" si="0"/>
        <v>Matched</v>
      </c>
      <c r="H44" s="6">
        <f t="shared" si="1"/>
        <v>0</v>
      </c>
    </row>
    <row r="45" spans="1:8" hidden="1" x14ac:dyDescent="0.2">
      <c r="A45" s="1">
        <v>46182</v>
      </c>
      <c r="B45" t="s">
        <v>258</v>
      </c>
      <c r="C45" t="s">
        <v>264</v>
      </c>
      <c r="D45" t="s">
        <v>103</v>
      </c>
      <c r="E45" s="2">
        <v>-14804.25</v>
      </c>
      <c r="F45" s="3">
        <f>_xlfn.XLOOKUP(Cash[[#This Row],[DocNo]],bank_statement_jun2026!C:C,bank_statement_jun2026!D:D,"Not Found")</f>
        <v>-14804.25</v>
      </c>
      <c r="G45" t="str">
        <f t="shared" si="0"/>
        <v>Matched</v>
      </c>
      <c r="H45" s="6">
        <f t="shared" si="1"/>
        <v>0</v>
      </c>
    </row>
    <row r="46" spans="1:8" hidden="1" x14ac:dyDescent="0.2">
      <c r="A46" s="1">
        <v>46184</v>
      </c>
      <c r="B46" t="s">
        <v>258</v>
      </c>
      <c r="C46" t="s">
        <v>272</v>
      </c>
      <c r="D46" t="s">
        <v>97</v>
      </c>
      <c r="E46" s="2">
        <v>-22782.19</v>
      </c>
      <c r="F46" s="3">
        <f>_xlfn.XLOOKUP(Cash[[#This Row],[DocNo]],bank_statement_jun2026!C:C,bank_statement_jun2026!D:D,"Not Found")</f>
        <v>-22782.19</v>
      </c>
      <c r="G46" t="str">
        <f t="shared" si="0"/>
        <v>Matched</v>
      </c>
      <c r="H46" s="6">
        <f t="shared" si="1"/>
        <v>0</v>
      </c>
    </row>
    <row r="47" spans="1:8" hidden="1" x14ac:dyDescent="0.2">
      <c r="A47" s="1">
        <v>46184</v>
      </c>
      <c r="B47" t="s">
        <v>258</v>
      </c>
      <c r="C47" t="s">
        <v>259</v>
      </c>
      <c r="D47" t="s">
        <v>119</v>
      </c>
      <c r="E47" s="2">
        <v>-15073.56</v>
      </c>
      <c r="F47" s="3">
        <f>_xlfn.XLOOKUP(Cash[[#This Row],[DocNo]],bank_statement_jun2026!C:C,bank_statement_jun2026!D:D,"Not Found")</f>
        <v>-15073.56</v>
      </c>
      <c r="G47" t="str">
        <f t="shared" si="0"/>
        <v>Matched</v>
      </c>
      <c r="H47" s="6">
        <f t="shared" si="1"/>
        <v>0</v>
      </c>
    </row>
    <row r="48" spans="1:8" hidden="1" x14ac:dyDescent="0.2">
      <c r="A48" s="1">
        <v>46184</v>
      </c>
      <c r="B48" t="s">
        <v>258</v>
      </c>
      <c r="C48" t="s">
        <v>260</v>
      </c>
      <c r="D48" t="s">
        <v>89</v>
      </c>
      <c r="E48" s="2">
        <v>-21055.08</v>
      </c>
      <c r="F48" s="3">
        <f>_xlfn.XLOOKUP(Cash[[#This Row],[DocNo]],bank_statement_jun2026!C:C,bank_statement_jun2026!D:D,"Not Found")</f>
        <v>-21055.08</v>
      </c>
      <c r="G48" t="str">
        <f t="shared" si="0"/>
        <v>Matched</v>
      </c>
      <c r="H48" s="6">
        <f t="shared" si="1"/>
        <v>0</v>
      </c>
    </row>
    <row r="49" spans="1:9" hidden="1" x14ac:dyDescent="0.2">
      <c r="A49" s="1">
        <v>46184</v>
      </c>
      <c r="B49" t="s">
        <v>258</v>
      </c>
      <c r="C49" t="s">
        <v>261</v>
      </c>
      <c r="D49" t="s">
        <v>93</v>
      </c>
      <c r="E49" s="2">
        <v>41142.46</v>
      </c>
      <c r="F49" s="3">
        <f>_xlfn.XLOOKUP(Cash[[#This Row],[DocNo]],bank_statement_jun2026!C:C,bank_statement_jun2026!D:D,"Not Found")</f>
        <v>41142.46</v>
      </c>
      <c r="G49" t="str">
        <f t="shared" si="0"/>
        <v>Matched</v>
      </c>
      <c r="H49" s="6">
        <f t="shared" si="1"/>
        <v>0</v>
      </c>
    </row>
    <row r="50" spans="1:9" hidden="1" x14ac:dyDescent="0.2">
      <c r="A50" s="1">
        <v>46184</v>
      </c>
      <c r="B50" t="s">
        <v>258</v>
      </c>
      <c r="C50" t="s">
        <v>265</v>
      </c>
      <c r="D50" t="s">
        <v>95</v>
      </c>
      <c r="E50" s="2">
        <v>87832.55</v>
      </c>
      <c r="F50" s="3">
        <f>_xlfn.XLOOKUP(Cash[[#This Row],[DocNo]],bank_statement_jun2026!C:C,bank_statement_jun2026!D:D,"Not Found")</f>
        <v>87832.55</v>
      </c>
      <c r="G50" t="str">
        <f t="shared" si="0"/>
        <v>Matched</v>
      </c>
      <c r="H50" s="6">
        <f t="shared" si="1"/>
        <v>0</v>
      </c>
    </row>
    <row r="51" spans="1:9" hidden="1" x14ac:dyDescent="0.2">
      <c r="A51" s="1">
        <v>46184</v>
      </c>
      <c r="B51" t="s">
        <v>258</v>
      </c>
      <c r="C51" t="s">
        <v>268</v>
      </c>
      <c r="D51" t="s">
        <v>117</v>
      </c>
      <c r="E51" s="2">
        <v>-11233.06</v>
      </c>
      <c r="F51" s="3">
        <f>_xlfn.XLOOKUP(Cash[[#This Row],[DocNo]],bank_statement_jun2026!C:C,bank_statement_jun2026!D:D,"Not Found")</f>
        <v>-11233.06</v>
      </c>
      <c r="G51" t="str">
        <f t="shared" si="0"/>
        <v>Matched</v>
      </c>
      <c r="H51" s="6">
        <f t="shared" si="1"/>
        <v>0</v>
      </c>
    </row>
    <row r="52" spans="1:9" hidden="1" x14ac:dyDescent="0.2">
      <c r="A52" s="1">
        <v>46184</v>
      </c>
      <c r="B52" t="s">
        <v>258</v>
      </c>
      <c r="C52" t="s">
        <v>268</v>
      </c>
      <c r="D52" t="s">
        <v>121</v>
      </c>
      <c r="E52" s="2">
        <v>-11995.77</v>
      </c>
      <c r="F52" s="3">
        <f>_xlfn.XLOOKUP(Cash[[#This Row],[DocNo]],bank_statement_jun2026!C:C,bank_statement_jun2026!D:D,"Not Found")</f>
        <v>-11995.77</v>
      </c>
      <c r="G52" t="str">
        <f t="shared" si="0"/>
        <v>Matched</v>
      </c>
      <c r="H52" s="6">
        <f t="shared" si="1"/>
        <v>0</v>
      </c>
    </row>
    <row r="53" spans="1:9" hidden="1" x14ac:dyDescent="0.2">
      <c r="A53" s="1">
        <v>46185</v>
      </c>
      <c r="B53" t="s">
        <v>258</v>
      </c>
      <c r="C53" t="s">
        <v>266</v>
      </c>
      <c r="D53" t="s">
        <v>105</v>
      </c>
      <c r="E53" s="2">
        <v>-1176.3599999999999</v>
      </c>
      <c r="F53" s="3">
        <f>_xlfn.XLOOKUP(Cash[[#This Row],[DocNo]],bank_statement_jun2026!C:C,bank_statement_jun2026!D:D,"Not Found")</f>
        <v>-1176.3599999999999</v>
      </c>
      <c r="G53" t="str">
        <f t="shared" si="0"/>
        <v>Matched</v>
      </c>
      <c r="H53" s="6">
        <f t="shared" si="1"/>
        <v>0</v>
      </c>
    </row>
    <row r="54" spans="1:9" hidden="1" x14ac:dyDescent="0.2">
      <c r="A54" s="1">
        <v>46185</v>
      </c>
      <c r="B54" t="s">
        <v>258</v>
      </c>
      <c r="C54" t="s">
        <v>263</v>
      </c>
      <c r="D54" t="s">
        <v>107</v>
      </c>
      <c r="E54" s="2">
        <v>-16179.58</v>
      </c>
      <c r="F54" s="3">
        <f>_xlfn.XLOOKUP(Cash[[#This Row],[DocNo]],bank_statement_jun2026!C:C,bank_statement_jun2026!D:D,"Not Found")</f>
        <v>-16179.58</v>
      </c>
      <c r="G54" t="str">
        <f t="shared" si="0"/>
        <v>Matched</v>
      </c>
      <c r="H54" s="6">
        <f t="shared" si="1"/>
        <v>0</v>
      </c>
    </row>
    <row r="55" spans="1:9" hidden="1" x14ac:dyDescent="0.2">
      <c r="A55" s="1">
        <v>46185</v>
      </c>
      <c r="B55" t="s">
        <v>258</v>
      </c>
      <c r="C55" t="s">
        <v>270</v>
      </c>
      <c r="D55" t="s">
        <v>87</v>
      </c>
      <c r="E55" s="2">
        <v>-743.29</v>
      </c>
      <c r="F55" s="3">
        <f>_xlfn.XLOOKUP(Cash[[#This Row],[DocNo]],bank_statement_jun2026!C:C,bank_statement_jun2026!D:D,"Not Found")</f>
        <v>-743.6</v>
      </c>
      <c r="G55" t="str">
        <f t="shared" si="0"/>
        <v>Difference</v>
      </c>
      <c r="H55" s="2">
        <f t="shared" si="1"/>
        <v>0.31</v>
      </c>
      <c r="I55" t="s">
        <v>306</v>
      </c>
    </row>
    <row r="56" spans="1:9" hidden="1" x14ac:dyDescent="0.2">
      <c r="A56" s="1">
        <v>46185</v>
      </c>
      <c r="B56" t="s">
        <v>258</v>
      </c>
      <c r="C56" t="s">
        <v>273</v>
      </c>
      <c r="D56" t="s">
        <v>99</v>
      </c>
      <c r="E56" s="2">
        <v>-10980.23</v>
      </c>
      <c r="F56" s="3">
        <f>_xlfn.XLOOKUP(Cash[[#This Row],[DocNo]],bank_statement_jun2026!C:C,bank_statement_jun2026!D:D,"Not Found")</f>
        <v>-10980.23</v>
      </c>
      <c r="G56" t="str">
        <f t="shared" si="0"/>
        <v>Matched</v>
      </c>
      <c r="H56" s="6">
        <f t="shared" si="1"/>
        <v>0</v>
      </c>
    </row>
    <row r="57" spans="1:9" hidden="1" x14ac:dyDescent="0.2">
      <c r="A57" s="1">
        <v>46185</v>
      </c>
      <c r="B57" t="s">
        <v>258</v>
      </c>
      <c r="C57" t="s">
        <v>275</v>
      </c>
      <c r="D57" t="s">
        <v>109</v>
      </c>
      <c r="E57" s="2">
        <v>-2483.7800000000002</v>
      </c>
      <c r="F57" s="3">
        <f>_xlfn.XLOOKUP(Cash[[#This Row],[DocNo]],bank_statement_jun2026!C:C,bank_statement_jun2026!D:D,"Not Found")</f>
        <v>-2483.7800000000002</v>
      </c>
      <c r="G57" t="str">
        <f t="shared" si="0"/>
        <v>Matched</v>
      </c>
      <c r="H57" s="6">
        <f t="shared" si="1"/>
        <v>0</v>
      </c>
    </row>
    <row r="58" spans="1:9" hidden="1" x14ac:dyDescent="0.2">
      <c r="A58" s="1">
        <v>46188</v>
      </c>
      <c r="B58" t="s">
        <v>258</v>
      </c>
      <c r="C58" t="s">
        <v>267</v>
      </c>
      <c r="D58" t="s">
        <v>123</v>
      </c>
      <c r="E58" s="2">
        <v>-15901.99</v>
      </c>
      <c r="F58" s="3">
        <f>_xlfn.XLOOKUP(Cash[[#This Row],[DocNo]],bank_statement_jun2026!C:C,bank_statement_jun2026!D:D,"Not Found")</f>
        <v>-15901.99</v>
      </c>
      <c r="G58" t="str">
        <f t="shared" si="0"/>
        <v>Matched</v>
      </c>
      <c r="H58" s="6">
        <f t="shared" si="1"/>
        <v>0</v>
      </c>
    </row>
    <row r="59" spans="1:9" hidden="1" x14ac:dyDescent="0.2">
      <c r="A59" s="1">
        <v>46188</v>
      </c>
      <c r="B59" t="s">
        <v>258</v>
      </c>
      <c r="C59" t="s">
        <v>278</v>
      </c>
      <c r="D59" t="s">
        <v>131</v>
      </c>
      <c r="E59" s="2">
        <v>-8619.3700000000008</v>
      </c>
      <c r="F59" s="3">
        <f>_xlfn.XLOOKUP(Cash[[#This Row],[DocNo]],bank_statement_jun2026!C:C,bank_statement_jun2026!D:D,"Not Found")</f>
        <v>-8619.3700000000008</v>
      </c>
      <c r="G59" t="str">
        <f t="shared" si="0"/>
        <v>Matched</v>
      </c>
      <c r="H59" s="6">
        <f t="shared" si="1"/>
        <v>0</v>
      </c>
    </row>
    <row r="60" spans="1:9" hidden="1" x14ac:dyDescent="0.2">
      <c r="A60" s="1">
        <v>46188</v>
      </c>
      <c r="B60" t="s">
        <v>258</v>
      </c>
      <c r="C60" t="s">
        <v>278</v>
      </c>
      <c r="D60" t="s">
        <v>115</v>
      </c>
      <c r="E60" s="2">
        <v>-4550.6899999999996</v>
      </c>
      <c r="F60" s="3">
        <f>_xlfn.XLOOKUP(Cash[[#This Row],[DocNo]],bank_statement_jun2026!C:C,bank_statement_jun2026!D:D,"Not Found")</f>
        <v>-4550.6899999999996</v>
      </c>
      <c r="G60" t="str">
        <f t="shared" si="0"/>
        <v>Matched</v>
      </c>
      <c r="H60" s="6">
        <f t="shared" si="1"/>
        <v>0</v>
      </c>
    </row>
    <row r="61" spans="1:9" hidden="1" x14ac:dyDescent="0.2">
      <c r="A61" s="1">
        <v>46188</v>
      </c>
      <c r="B61" t="s">
        <v>258</v>
      </c>
      <c r="C61" t="s">
        <v>259</v>
      </c>
      <c r="D61" t="s">
        <v>129</v>
      </c>
      <c r="E61" s="2">
        <v>-21240.09</v>
      </c>
      <c r="F61" s="3">
        <f>_xlfn.XLOOKUP(Cash[[#This Row],[DocNo]],bank_statement_jun2026!C:C,bank_statement_jun2026!D:D,"Not Found")</f>
        <v>-21240.09</v>
      </c>
      <c r="G61" t="str">
        <f t="shared" si="0"/>
        <v>Matched</v>
      </c>
      <c r="H61" s="6">
        <f t="shared" si="1"/>
        <v>0</v>
      </c>
    </row>
    <row r="62" spans="1:9" hidden="1" x14ac:dyDescent="0.2">
      <c r="A62" s="1">
        <v>46188</v>
      </c>
      <c r="B62" t="s">
        <v>258</v>
      </c>
      <c r="C62" t="s">
        <v>274</v>
      </c>
      <c r="D62" t="s">
        <v>125</v>
      </c>
      <c r="E62" s="2">
        <v>-19356.189999999999</v>
      </c>
      <c r="F62" s="3">
        <f>_xlfn.XLOOKUP(Cash[[#This Row],[DocNo]],bank_statement_jun2026!C:C,bank_statement_jun2026!D:D,"Not Found")</f>
        <v>-19356.189999999999</v>
      </c>
      <c r="G62" t="str">
        <f t="shared" si="0"/>
        <v>Matched</v>
      </c>
      <c r="H62" s="6">
        <f t="shared" si="1"/>
        <v>0</v>
      </c>
    </row>
    <row r="63" spans="1:9" hidden="1" x14ac:dyDescent="0.2">
      <c r="A63" s="1">
        <v>46188</v>
      </c>
      <c r="B63" t="s">
        <v>258</v>
      </c>
      <c r="C63" t="s">
        <v>275</v>
      </c>
      <c r="D63" t="s">
        <v>133</v>
      </c>
      <c r="E63" s="2">
        <v>-9270.17</v>
      </c>
      <c r="F63" s="3">
        <f>_xlfn.XLOOKUP(Cash[[#This Row],[DocNo]],bank_statement_jun2026!C:C,bank_statement_jun2026!D:D,"Not Found")</f>
        <v>-9270.17</v>
      </c>
      <c r="G63" t="str">
        <f t="shared" si="0"/>
        <v>Matched</v>
      </c>
      <c r="H63" s="6">
        <f t="shared" si="1"/>
        <v>0</v>
      </c>
    </row>
    <row r="64" spans="1:9" hidden="1" x14ac:dyDescent="0.2">
      <c r="A64" s="1">
        <v>46188</v>
      </c>
      <c r="B64" t="s">
        <v>258</v>
      </c>
      <c r="C64" t="s">
        <v>277</v>
      </c>
      <c r="D64" t="s">
        <v>111</v>
      </c>
      <c r="E64" s="2">
        <v>-12952.95</v>
      </c>
      <c r="F64" s="3">
        <f>_xlfn.XLOOKUP(Cash[[#This Row],[DocNo]],bank_statement_jun2026!C:C,bank_statement_jun2026!D:D,"Not Found")</f>
        <v>-12952.95</v>
      </c>
      <c r="G64" t="str">
        <f t="shared" si="0"/>
        <v>Matched</v>
      </c>
      <c r="H64" s="6">
        <f t="shared" si="1"/>
        <v>0</v>
      </c>
    </row>
    <row r="65" spans="1:9" hidden="1" x14ac:dyDescent="0.2">
      <c r="A65" s="1">
        <v>46188</v>
      </c>
      <c r="B65" t="s">
        <v>258</v>
      </c>
      <c r="C65" t="s">
        <v>277</v>
      </c>
      <c r="D65" t="s">
        <v>127</v>
      </c>
      <c r="E65" s="2">
        <v>-13321.03</v>
      </c>
      <c r="F65" s="3">
        <f>_xlfn.XLOOKUP(Cash[[#This Row],[DocNo]],bank_statement_jun2026!C:C,bank_statement_jun2026!D:D,"Not Found")</f>
        <v>-13321.03</v>
      </c>
      <c r="G65" t="str">
        <f t="shared" si="0"/>
        <v>Matched</v>
      </c>
      <c r="H65" s="6">
        <f t="shared" si="1"/>
        <v>0</v>
      </c>
    </row>
    <row r="66" spans="1:9" hidden="1" x14ac:dyDescent="0.2">
      <c r="A66" s="1">
        <v>46188</v>
      </c>
      <c r="B66" t="s">
        <v>258</v>
      </c>
      <c r="C66" t="s">
        <v>279</v>
      </c>
      <c r="D66" t="s">
        <v>113</v>
      </c>
      <c r="E66" s="2">
        <v>-2837.17</v>
      </c>
      <c r="F66" s="3">
        <f>_xlfn.XLOOKUP(Cash[[#This Row],[DocNo]],bank_statement_jun2026!C:C,bank_statement_jun2026!D:D,"Not Found")</f>
        <v>-2837.17</v>
      </c>
      <c r="G66" t="str">
        <f t="shared" ref="G66:G122" si="2">IF(F66="Not Found","Missing from Bank",IF(ROUND(E66,2)=ROUND(F66,2),"Matched","Difference"))</f>
        <v>Matched</v>
      </c>
      <c r="H66" s="6">
        <f t="shared" ref="H66:H122" si="3">IF(ISNUMBER(F66),ROUND(E66-F66,2),"")</f>
        <v>0</v>
      </c>
    </row>
    <row r="67" spans="1:9" hidden="1" x14ac:dyDescent="0.2">
      <c r="A67" s="1">
        <v>46189</v>
      </c>
      <c r="B67" t="s">
        <v>258</v>
      </c>
      <c r="C67" t="s">
        <v>259</v>
      </c>
      <c r="D67" t="s">
        <v>137</v>
      </c>
      <c r="E67" s="2">
        <v>-15945.77</v>
      </c>
      <c r="F67" s="3">
        <f>_xlfn.XLOOKUP(Cash[[#This Row],[DocNo]],bank_statement_jun2026!C:C,bank_statement_jun2026!D:D,"Not Found")</f>
        <v>-15945.77</v>
      </c>
      <c r="G67" t="str">
        <f t="shared" si="2"/>
        <v>Matched</v>
      </c>
      <c r="H67" s="6">
        <f t="shared" si="3"/>
        <v>0</v>
      </c>
    </row>
    <row r="68" spans="1:9" hidden="1" x14ac:dyDescent="0.2">
      <c r="A68" s="1">
        <v>46189</v>
      </c>
      <c r="B68" t="s">
        <v>258</v>
      </c>
      <c r="C68" t="s">
        <v>261</v>
      </c>
      <c r="D68" t="s">
        <v>139</v>
      </c>
      <c r="E68" s="2">
        <v>78905.009999999995</v>
      </c>
      <c r="F68" s="3">
        <f>_xlfn.XLOOKUP(Cash[[#This Row],[DocNo]],bank_statement_jun2026!C:C,bank_statement_jun2026!D:D,"Not Found")</f>
        <v>78905.009999999995</v>
      </c>
      <c r="G68" t="str">
        <f t="shared" si="2"/>
        <v>Matched</v>
      </c>
      <c r="H68" s="6">
        <f t="shared" si="3"/>
        <v>0</v>
      </c>
    </row>
    <row r="69" spans="1:9" hidden="1" x14ac:dyDescent="0.2">
      <c r="A69" s="1">
        <v>46189</v>
      </c>
      <c r="B69" t="s">
        <v>258</v>
      </c>
      <c r="C69" t="s">
        <v>262</v>
      </c>
      <c r="D69" t="s">
        <v>135</v>
      </c>
      <c r="E69" s="2">
        <v>-6813.33</v>
      </c>
      <c r="F69" s="3">
        <f>_xlfn.XLOOKUP(Cash[[#This Row],[DocNo]],bank_statement_jun2026!C:C,bank_statement_jun2026!D:D,"Not Found")</f>
        <v>-6813.33</v>
      </c>
      <c r="G69" t="str">
        <f t="shared" si="2"/>
        <v>Matched</v>
      </c>
      <c r="H69" s="6">
        <f t="shared" si="3"/>
        <v>0</v>
      </c>
    </row>
    <row r="70" spans="1:9" hidden="1" x14ac:dyDescent="0.2">
      <c r="A70" s="1">
        <v>46189</v>
      </c>
      <c r="B70" t="s">
        <v>258</v>
      </c>
      <c r="C70" t="s">
        <v>265</v>
      </c>
      <c r="D70" t="s">
        <v>141</v>
      </c>
      <c r="E70" s="2">
        <v>61577.27</v>
      </c>
      <c r="F70" s="3">
        <f>_xlfn.XLOOKUP(Cash[[#This Row],[DocNo]],bank_statement_jun2026!C:C,bank_statement_jun2026!D:D,"Not Found")</f>
        <v>61577.27</v>
      </c>
      <c r="G70" t="str">
        <f t="shared" si="2"/>
        <v>Matched</v>
      </c>
      <c r="H70" s="6">
        <f t="shared" si="3"/>
        <v>0</v>
      </c>
    </row>
    <row r="71" spans="1:9" hidden="1" x14ac:dyDescent="0.2">
      <c r="A71" s="1">
        <v>46190</v>
      </c>
      <c r="B71" t="s">
        <v>258</v>
      </c>
      <c r="C71" t="s">
        <v>269</v>
      </c>
      <c r="D71" t="s">
        <v>145</v>
      </c>
      <c r="E71" s="2">
        <v>56603.15</v>
      </c>
      <c r="F71" s="3">
        <f>_xlfn.XLOOKUP(Cash[[#This Row],[DocNo]],bank_statement_jun2026!C:C,bank_statement_jun2026!D:D,"Not Found")</f>
        <v>56603.15</v>
      </c>
      <c r="G71" t="str">
        <f t="shared" si="2"/>
        <v>Matched</v>
      </c>
      <c r="H71" s="6">
        <f t="shared" si="3"/>
        <v>0</v>
      </c>
    </row>
    <row r="72" spans="1:9" hidden="1" x14ac:dyDescent="0.2">
      <c r="A72" s="1">
        <v>46190</v>
      </c>
      <c r="B72" t="s">
        <v>258</v>
      </c>
      <c r="C72" t="s">
        <v>270</v>
      </c>
      <c r="D72" t="s">
        <v>143</v>
      </c>
      <c r="E72" s="2">
        <v>-22079.8</v>
      </c>
      <c r="F72" s="3">
        <f>_xlfn.XLOOKUP(Cash[[#This Row],[DocNo]],bank_statement_jun2026!C:C,bank_statement_jun2026!D:D,"Not Found")</f>
        <v>-22079.8</v>
      </c>
      <c r="G72" t="str">
        <f t="shared" si="2"/>
        <v>Matched</v>
      </c>
      <c r="H72" s="6">
        <f t="shared" si="3"/>
        <v>0</v>
      </c>
    </row>
    <row r="73" spans="1:9" hidden="1" x14ac:dyDescent="0.2">
      <c r="A73" s="1">
        <v>46190</v>
      </c>
      <c r="B73" t="s">
        <v>258</v>
      </c>
      <c r="C73" t="s">
        <v>274</v>
      </c>
      <c r="D73" t="s">
        <v>155</v>
      </c>
      <c r="E73" s="2">
        <v>-4709.2299999999996</v>
      </c>
      <c r="F73" s="3">
        <f>_xlfn.XLOOKUP(Cash[[#This Row],[DocNo]],bank_statement_jun2026!C:C,bank_statement_jun2026!D:D,"Not Found")</f>
        <v>-4709.2299999999996</v>
      </c>
      <c r="G73" t="str">
        <f t="shared" si="2"/>
        <v>Matched</v>
      </c>
      <c r="H73" s="6">
        <f t="shared" si="3"/>
        <v>0</v>
      </c>
    </row>
    <row r="74" spans="1:9" hidden="1" x14ac:dyDescent="0.2">
      <c r="A74" s="1">
        <v>46191</v>
      </c>
      <c r="B74" t="s">
        <v>258</v>
      </c>
      <c r="C74" t="s">
        <v>280</v>
      </c>
      <c r="D74" t="s">
        <v>149</v>
      </c>
      <c r="E74" s="2">
        <v>-15305.18</v>
      </c>
      <c r="F74" s="3">
        <f>_xlfn.XLOOKUP(Cash[[#This Row],[DocNo]],bank_statement_jun2026!C:C,bank_statement_jun2026!D:D,"Not Found")</f>
        <v>-15305.18</v>
      </c>
      <c r="G74" t="str">
        <f t="shared" si="2"/>
        <v>Matched</v>
      </c>
      <c r="H74" s="6">
        <f t="shared" si="3"/>
        <v>0</v>
      </c>
    </row>
    <row r="75" spans="1:9" hidden="1" x14ac:dyDescent="0.2">
      <c r="A75" s="1">
        <v>46191</v>
      </c>
      <c r="B75" t="s">
        <v>258</v>
      </c>
      <c r="C75" t="s">
        <v>266</v>
      </c>
      <c r="D75" t="s">
        <v>151</v>
      </c>
      <c r="E75" s="2">
        <v>-15895.26</v>
      </c>
      <c r="F75" s="3">
        <f>_xlfn.XLOOKUP(Cash[[#This Row],[DocNo]],bank_statement_jun2026!C:C,bank_statement_jun2026!D:D,"Not Found")</f>
        <v>-15895.26</v>
      </c>
      <c r="G75" t="str">
        <f t="shared" si="2"/>
        <v>Matched</v>
      </c>
      <c r="H75" s="6">
        <f t="shared" si="3"/>
        <v>0</v>
      </c>
    </row>
    <row r="76" spans="1:9" hidden="1" x14ac:dyDescent="0.2">
      <c r="A76" s="1">
        <v>46191</v>
      </c>
      <c r="B76" t="s">
        <v>258</v>
      </c>
      <c r="C76" t="s">
        <v>251</v>
      </c>
      <c r="D76" t="s">
        <v>157</v>
      </c>
      <c r="E76" s="2">
        <v>111792.66</v>
      </c>
      <c r="F76" s="3">
        <f>_xlfn.XLOOKUP(Cash[[#This Row],[DocNo]],bank_statement_jun2026!C:C,bank_statement_jun2026!D:D,"Not Found")</f>
        <v>111792.66</v>
      </c>
      <c r="G76" t="str">
        <f t="shared" si="2"/>
        <v>Matched</v>
      </c>
      <c r="H76" s="6">
        <f t="shared" si="3"/>
        <v>0</v>
      </c>
    </row>
    <row r="77" spans="1:9" hidden="1" x14ac:dyDescent="0.2">
      <c r="A77" s="1">
        <v>46191</v>
      </c>
      <c r="B77" t="s">
        <v>258</v>
      </c>
      <c r="C77" t="s">
        <v>263</v>
      </c>
      <c r="D77" t="s">
        <v>165</v>
      </c>
      <c r="E77" s="2">
        <v>-3937.53</v>
      </c>
      <c r="F77" s="3">
        <f>_xlfn.XLOOKUP(Cash[[#This Row],[DocNo]],bank_statement_jun2026!C:C,bank_statement_jun2026!D:D,"Not Found")</f>
        <v>-3937.53</v>
      </c>
      <c r="G77" t="str">
        <f t="shared" si="2"/>
        <v>Matched</v>
      </c>
      <c r="H77" s="6">
        <f t="shared" si="3"/>
        <v>0</v>
      </c>
    </row>
    <row r="78" spans="1:9" hidden="1" x14ac:dyDescent="0.2">
      <c r="A78" s="1">
        <v>46191</v>
      </c>
      <c r="B78" t="s">
        <v>258</v>
      </c>
      <c r="C78" t="s">
        <v>261</v>
      </c>
      <c r="D78" t="s">
        <v>159</v>
      </c>
      <c r="E78" s="2">
        <v>86353.93</v>
      </c>
      <c r="F78" s="3">
        <f>_xlfn.XLOOKUP(Cash[[#This Row],[DocNo]],bank_statement_jun2026!C:C,bank_statement_jun2026!D:D,"Not Found")</f>
        <v>86353.93</v>
      </c>
      <c r="G78" t="str">
        <f t="shared" si="2"/>
        <v>Matched</v>
      </c>
      <c r="H78" s="6">
        <f t="shared" si="3"/>
        <v>0</v>
      </c>
    </row>
    <row r="79" spans="1:9" hidden="1" x14ac:dyDescent="0.2">
      <c r="A79" s="1">
        <v>46191</v>
      </c>
      <c r="B79" t="s">
        <v>258</v>
      </c>
      <c r="C79" t="s">
        <v>262</v>
      </c>
      <c r="D79" t="s">
        <v>183</v>
      </c>
      <c r="E79" s="2">
        <v>-3495.61</v>
      </c>
      <c r="F79" s="3">
        <f>_xlfn.XLOOKUP(Cash[[#This Row],[DocNo]],bank_statement_jun2026!C:C,bank_statement_jun2026!D:D,"Not Found")</f>
        <v>-3495.61</v>
      </c>
      <c r="G79" t="str">
        <f t="shared" si="2"/>
        <v>Matched</v>
      </c>
      <c r="H79" s="6">
        <f t="shared" si="3"/>
        <v>0</v>
      </c>
    </row>
    <row r="80" spans="1:9" hidden="1" x14ac:dyDescent="0.2">
      <c r="A80" s="1">
        <v>46191</v>
      </c>
      <c r="B80" t="s">
        <v>258</v>
      </c>
      <c r="C80" t="s">
        <v>262</v>
      </c>
      <c r="D80" t="s">
        <v>147</v>
      </c>
      <c r="E80" s="2">
        <v>-2411.2800000000002</v>
      </c>
      <c r="F80" s="3">
        <f>_xlfn.XLOOKUP(Cash[[#This Row],[DocNo]],bank_statement_jun2026!C:C,bank_statement_jun2026!D:D,"Not Found")</f>
        <v>-2411.46</v>
      </c>
      <c r="G80" t="str">
        <f t="shared" si="2"/>
        <v>Difference</v>
      </c>
      <c r="H80" s="2">
        <f t="shared" si="3"/>
        <v>0.18</v>
      </c>
      <c r="I80" t="s">
        <v>307</v>
      </c>
    </row>
    <row r="81" spans="1:9" hidden="1" x14ac:dyDescent="0.2">
      <c r="A81" s="1">
        <v>46191</v>
      </c>
      <c r="B81" t="s">
        <v>258</v>
      </c>
      <c r="C81" t="s">
        <v>264</v>
      </c>
      <c r="D81" t="s">
        <v>153</v>
      </c>
      <c r="E81" s="2">
        <v>-10735.37</v>
      </c>
      <c r="F81" s="3">
        <f>_xlfn.XLOOKUP(Cash[[#This Row],[DocNo]],bank_statement_jun2026!C:C,bank_statement_jun2026!D:D,"Not Found")</f>
        <v>-10735.37</v>
      </c>
      <c r="G81" t="str">
        <f t="shared" si="2"/>
        <v>Matched</v>
      </c>
      <c r="H81" s="6">
        <f t="shared" si="3"/>
        <v>0</v>
      </c>
    </row>
    <row r="82" spans="1:9" hidden="1" x14ac:dyDescent="0.2">
      <c r="A82" s="1">
        <v>46191</v>
      </c>
      <c r="B82" t="s">
        <v>258</v>
      </c>
      <c r="C82" t="s">
        <v>265</v>
      </c>
      <c r="D82" t="s">
        <v>161</v>
      </c>
      <c r="E82" s="2">
        <v>47196.480000000003</v>
      </c>
      <c r="F82" s="3">
        <f>_xlfn.XLOOKUP(Cash[[#This Row],[DocNo]],bank_statement_jun2026!C:C,bank_statement_jun2026!D:D,"Not Found")</f>
        <v>47196.480000000003</v>
      </c>
      <c r="G82" t="str">
        <f t="shared" si="2"/>
        <v>Matched</v>
      </c>
      <c r="H82" s="6">
        <f t="shared" si="3"/>
        <v>0</v>
      </c>
    </row>
    <row r="83" spans="1:9" hidden="1" x14ac:dyDescent="0.2">
      <c r="A83" s="1">
        <v>46192</v>
      </c>
      <c r="B83" t="s">
        <v>258</v>
      </c>
      <c r="C83" t="s">
        <v>280</v>
      </c>
      <c r="D83" t="s">
        <v>169</v>
      </c>
      <c r="E83" s="2">
        <v>-2934.68</v>
      </c>
      <c r="F83" s="3">
        <f>_xlfn.XLOOKUP(Cash[[#This Row],[DocNo]],bank_statement_jun2026!C:C,bank_statement_jun2026!D:D,"Not Found")</f>
        <v>-2934.68</v>
      </c>
      <c r="G83" t="str">
        <f t="shared" si="2"/>
        <v>Matched</v>
      </c>
      <c r="H83" s="6">
        <f t="shared" si="3"/>
        <v>0</v>
      </c>
    </row>
    <row r="84" spans="1:9" hidden="1" x14ac:dyDescent="0.2">
      <c r="A84" s="1">
        <v>46192</v>
      </c>
      <c r="B84" t="s">
        <v>258</v>
      </c>
      <c r="C84" t="s">
        <v>269</v>
      </c>
      <c r="D84" t="s">
        <v>171</v>
      </c>
      <c r="E84" s="2">
        <v>30144.87</v>
      </c>
      <c r="F84" s="3">
        <f>_xlfn.XLOOKUP(Cash[[#This Row],[DocNo]],bank_statement_jun2026!C:C,bank_statement_jun2026!D:D,"Not Found")</f>
        <v>30144.87</v>
      </c>
      <c r="G84" t="str">
        <f t="shared" si="2"/>
        <v>Matched</v>
      </c>
      <c r="H84" s="6">
        <f t="shared" si="3"/>
        <v>0</v>
      </c>
    </row>
    <row r="85" spans="1:9" hidden="1" x14ac:dyDescent="0.2">
      <c r="A85" s="1">
        <v>46192</v>
      </c>
      <c r="B85" t="s">
        <v>258</v>
      </c>
      <c r="C85" t="s">
        <v>266</v>
      </c>
      <c r="D85" t="s">
        <v>173</v>
      </c>
      <c r="E85" s="2">
        <v>-17410.259999999998</v>
      </c>
      <c r="F85" s="3">
        <f>_xlfn.XLOOKUP(Cash[[#This Row],[DocNo]],bank_statement_jun2026!C:C,bank_statement_jun2026!D:D,"Not Found")</f>
        <v>-17410.259999999998</v>
      </c>
      <c r="G85" t="str">
        <f t="shared" si="2"/>
        <v>Matched</v>
      </c>
      <c r="H85" s="6">
        <f t="shared" si="3"/>
        <v>0</v>
      </c>
    </row>
    <row r="86" spans="1:9" hidden="1" x14ac:dyDescent="0.2">
      <c r="A86" s="1">
        <v>46192</v>
      </c>
      <c r="B86" t="s">
        <v>258</v>
      </c>
      <c r="C86" t="s">
        <v>259</v>
      </c>
      <c r="D86" t="s">
        <v>167</v>
      </c>
      <c r="E86" s="2">
        <v>-1154.82</v>
      </c>
      <c r="F86" s="3">
        <f>_xlfn.XLOOKUP(Cash[[#This Row],[DocNo]],bank_statement_jun2026!C:C,bank_statement_jun2026!D:D,"Not Found")</f>
        <v>-1154.68</v>
      </c>
      <c r="G86" t="str">
        <f t="shared" si="2"/>
        <v>Difference</v>
      </c>
      <c r="H86" s="2">
        <f t="shared" si="3"/>
        <v>-0.14000000000000001</v>
      </c>
      <c r="I86" t="s">
        <v>308</v>
      </c>
    </row>
    <row r="87" spans="1:9" hidden="1" x14ac:dyDescent="0.2">
      <c r="A87" s="1">
        <v>46192</v>
      </c>
      <c r="B87" t="s">
        <v>258</v>
      </c>
      <c r="C87" t="s">
        <v>260</v>
      </c>
      <c r="D87" t="s">
        <v>175</v>
      </c>
      <c r="E87" s="2">
        <v>-10385.290000000001</v>
      </c>
      <c r="F87" s="3">
        <f>_xlfn.XLOOKUP(Cash[[#This Row],[DocNo]],bank_statement_jun2026!C:C,bank_statement_jun2026!D:D,"Not Found")</f>
        <v>-10385.290000000001</v>
      </c>
      <c r="G87" t="str">
        <f t="shared" si="2"/>
        <v>Matched</v>
      </c>
      <c r="H87" s="6">
        <f t="shared" si="3"/>
        <v>0</v>
      </c>
    </row>
    <row r="88" spans="1:9" hidden="1" x14ac:dyDescent="0.2">
      <c r="A88" s="1">
        <v>46192</v>
      </c>
      <c r="B88" t="s">
        <v>258</v>
      </c>
      <c r="C88" t="s">
        <v>277</v>
      </c>
      <c r="D88" t="s">
        <v>177</v>
      </c>
      <c r="E88" s="2">
        <v>-14976.01</v>
      </c>
      <c r="F88" s="3">
        <f>_xlfn.XLOOKUP(Cash[[#This Row],[DocNo]],bank_statement_jun2026!C:C,bank_statement_jun2026!D:D,"Not Found")</f>
        <v>-14976.01</v>
      </c>
      <c r="G88" t="str">
        <f t="shared" si="2"/>
        <v>Matched</v>
      </c>
      <c r="H88" s="6">
        <f t="shared" si="3"/>
        <v>0</v>
      </c>
    </row>
    <row r="89" spans="1:9" hidden="1" x14ac:dyDescent="0.2">
      <c r="A89" s="1">
        <v>46195</v>
      </c>
      <c r="B89" t="s">
        <v>258</v>
      </c>
      <c r="C89" t="s">
        <v>281</v>
      </c>
      <c r="D89" t="s">
        <v>219</v>
      </c>
      <c r="E89" s="2">
        <v>-7966.03</v>
      </c>
      <c r="F89" s="3">
        <f>_xlfn.XLOOKUP(Cash[[#This Row],[DocNo]],bank_statement_jun2026!C:C,bank_statement_jun2026!D:D,"Not Found")</f>
        <v>-7966.03</v>
      </c>
      <c r="G89" t="str">
        <f t="shared" si="2"/>
        <v>Matched</v>
      </c>
      <c r="H89" s="6">
        <f t="shared" si="3"/>
        <v>0</v>
      </c>
    </row>
    <row r="90" spans="1:9" hidden="1" x14ac:dyDescent="0.2">
      <c r="A90" s="1">
        <v>46195</v>
      </c>
      <c r="B90" t="s">
        <v>258</v>
      </c>
      <c r="C90" t="s">
        <v>281</v>
      </c>
      <c r="D90" t="s">
        <v>189</v>
      </c>
      <c r="E90" s="2">
        <v>-9274.16</v>
      </c>
      <c r="F90" s="3">
        <f>_xlfn.XLOOKUP(Cash[[#This Row],[DocNo]],bank_statement_jun2026!C:C,bank_statement_jun2026!D:D,"Not Found")</f>
        <v>-9274.7900000000009</v>
      </c>
      <c r="G90" t="str">
        <f t="shared" si="2"/>
        <v>Difference</v>
      </c>
      <c r="H90" s="2">
        <f t="shared" si="3"/>
        <v>0.63</v>
      </c>
      <c r="I90" t="s">
        <v>309</v>
      </c>
    </row>
    <row r="91" spans="1:9" hidden="1" x14ac:dyDescent="0.2">
      <c r="A91" s="1">
        <v>46195</v>
      </c>
      <c r="B91" t="s">
        <v>258</v>
      </c>
      <c r="C91" t="s">
        <v>267</v>
      </c>
      <c r="D91" t="s">
        <v>181</v>
      </c>
      <c r="E91" s="2">
        <v>-13390.63</v>
      </c>
      <c r="F91" s="3">
        <f>_xlfn.XLOOKUP(Cash[[#This Row],[DocNo]],bank_statement_jun2026!C:C,bank_statement_jun2026!D:D,"Not Found")</f>
        <v>-13390.63</v>
      </c>
      <c r="G91" t="str">
        <f t="shared" si="2"/>
        <v>Matched</v>
      </c>
      <c r="H91" s="6">
        <f t="shared" si="3"/>
        <v>0</v>
      </c>
    </row>
    <row r="92" spans="1:9" hidden="1" x14ac:dyDescent="0.2">
      <c r="A92" s="1">
        <v>46195</v>
      </c>
      <c r="B92" t="s">
        <v>258</v>
      </c>
      <c r="C92" t="s">
        <v>251</v>
      </c>
      <c r="D92" t="s">
        <v>187</v>
      </c>
      <c r="E92" s="2">
        <v>59150.99</v>
      </c>
      <c r="F92" s="3">
        <f>_xlfn.XLOOKUP(Cash[[#This Row],[DocNo]],bank_statement_jun2026!C:C,bank_statement_jun2026!D:D,"Not Found")</f>
        <v>59150.99</v>
      </c>
      <c r="G92" t="str">
        <f t="shared" si="2"/>
        <v>Matched</v>
      </c>
      <c r="H92" s="6">
        <f t="shared" si="3"/>
        <v>0</v>
      </c>
    </row>
    <row r="93" spans="1:9" hidden="1" x14ac:dyDescent="0.2">
      <c r="A93" s="1">
        <v>46195</v>
      </c>
      <c r="B93" t="s">
        <v>258</v>
      </c>
      <c r="C93" t="s">
        <v>271</v>
      </c>
      <c r="D93" t="s">
        <v>185</v>
      </c>
      <c r="E93" s="2">
        <v>-9603.9500000000007</v>
      </c>
      <c r="F93" s="3">
        <f>_xlfn.XLOOKUP(Cash[[#This Row],[DocNo]],bank_statement_jun2026!C:C,bank_statement_jun2026!D:D,"Not Found")</f>
        <v>-9603.9500000000007</v>
      </c>
      <c r="G93" t="str">
        <f t="shared" si="2"/>
        <v>Matched</v>
      </c>
      <c r="H93" s="6">
        <f t="shared" si="3"/>
        <v>0</v>
      </c>
    </row>
    <row r="94" spans="1:9" hidden="1" x14ac:dyDescent="0.2">
      <c r="A94" s="1">
        <v>46195</v>
      </c>
      <c r="B94" t="s">
        <v>258</v>
      </c>
      <c r="C94" t="s">
        <v>263</v>
      </c>
      <c r="D94" t="s">
        <v>195</v>
      </c>
      <c r="E94" s="2">
        <v>-19936.419999999998</v>
      </c>
      <c r="F94" s="3">
        <f>_xlfn.XLOOKUP(Cash[[#This Row],[DocNo]],bank_statement_jun2026!C:C,bank_statement_jun2026!D:D,"Not Found")</f>
        <v>-19936.419999999998</v>
      </c>
      <c r="G94" t="str">
        <f t="shared" si="2"/>
        <v>Matched</v>
      </c>
      <c r="H94" s="6">
        <f t="shared" si="3"/>
        <v>0</v>
      </c>
    </row>
    <row r="95" spans="1:9" hidden="1" x14ac:dyDescent="0.2">
      <c r="A95" s="1">
        <v>46195</v>
      </c>
      <c r="B95" t="s">
        <v>258</v>
      </c>
      <c r="C95" t="s">
        <v>263</v>
      </c>
      <c r="D95" t="s">
        <v>197</v>
      </c>
      <c r="E95" s="2">
        <v>-12259.66</v>
      </c>
      <c r="F95" s="3">
        <f>_xlfn.XLOOKUP(Cash[[#This Row],[DocNo]],bank_statement_jun2026!C:C,bank_statement_jun2026!D:D,"Not Found")</f>
        <v>-12259.66</v>
      </c>
      <c r="G95" t="str">
        <f t="shared" si="2"/>
        <v>Matched</v>
      </c>
      <c r="H95" s="6">
        <f t="shared" si="3"/>
        <v>0</v>
      </c>
    </row>
    <row r="96" spans="1:9" hidden="1" x14ac:dyDescent="0.2">
      <c r="A96" s="1">
        <v>46195</v>
      </c>
      <c r="B96" t="s">
        <v>258</v>
      </c>
      <c r="C96" t="s">
        <v>260</v>
      </c>
      <c r="D96" t="s">
        <v>179</v>
      </c>
      <c r="E96" s="2">
        <v>-14341.45</v>
      </c>
      <c r="F96" s="3">
        <f>_xlfn.XLOOKUP(Cash[[#This Row],[DocNo]],bank_statement_jun2026!C:C,bank_statement_jun2026!D:D,"Not Found")</f>
        <v>-14341.45</v>
      </c>
      <c r="G96" t="str">
        <f t="shared" si="2"/>
        <v>Matched</v>
      </c>
      <c r="H96" s="6">
        <f t="shared" si="3"/>
        <v>0</v>
      </c>
    </row>
    <row r="97" spans="1:9" hidden="1" x14ac:dyDescent="0.2">
      <c r="A97" s="1">
        <v>46195</v>
      </c>
      <c r="B97" t="s">
        <v>258</v>
      </c>
      <c r="C97" t="s">
        <v>277</v>
      </c>
      <c r="D97" t="s">
        <v>207</v>
      </c>
      <c r="E97" s="2">
        <v>-7694.16</v>
      </c>
      <c r="F97" s="3">
        <f>_xlfn.XLOOKUP(Cash[[#This Row],[DocNo]],bank_statement_jun2026!C:C,bank_statement_jun2026!D:D,"Not Found")</f>
        <v>-7694.16</v>
      </c>
      <c r="G97" t="str">
        <f t="shared" si="2"/>
        <v>Matched</v>
      </c>
      <c r="H97" s="6">
        <f t="shared" si="3"/>
        <v>0</v>
      </c>
    </row>
    <row r="98" spans="1:9" hidden="1" x14ac:dyDescent="0.2">
      <c r="A98" s="1">
        <v>46195</v>
      </c>
      <c r="B98" t="s">
        <v>258</v>
      </c>
      <c r="C98" t="s">
        <v>279</v>
      </c>
      <c r="D98" t="s">
        <v>191</v>
      </c>
      <c r="E98" s="2">
        <v>-18548.060000000001</v>
      </c>
      <c r="F98" s="3">
        <f>_xlfn.XLOOKUP(Cash[[#This Row],[DocNo]],bank_statement_jun2026!C:C,bank_statement_jun2026!D:D,"Not Found")</f>
        <v>-18548.060000000001</v>
      </c>
      <c r="G98" t="str">
        <f t="shared" si="2"/>
        <v>Matched</v>
      </c>
      <c r="H98" s="6">
        <f t="shared" si="3"/>
        <v>0</v>
      </c>
    </row>
    <row r="99" spans="1:9" hidden="1" x14ac:dyDescent="0.2">
      <c r="A99" s="1">
        <v>46196</v>
      </c>
      <c r="B99" t="s">
        <v>258</v>
      </c>
      <c r="C99" t="s">
        <v>272</v>
      </c>
      <c r="D99" t="s">
        <v>199</v>
      </c>
      <c r="E99" s="2">
        <v>-1887.53</v>
      </c>
      <c r="F99" s="3">
        <f>_xlfn.XLOOKUP(Cash[[#This Row],[DocNo]],bank_statement_jun2026!C:C,bank_statement_jun2026!D:D,"Not Found")</f>
        <v>-1887.08</v>
      </c>
      <c r="G99" t="str">
        <f t="shared" si="2"/>
        <v>Difference</v>
      </c>
      <c r="H99" s="2">
        <f t="shared" si="3"/>
        <v>-0.45</v>
      </c>
      <c r="I99" t="s">
        <v>310</v>
      </c>
    </row>
    <row r="100" spans="1:9" hidden="1" x14ac:dyDescent="0.2">
      <c r="A100" s="1">
        <v>46196</v>
      </c>
      <c r="B100" t="s">
        <v>258</v>
      </c>
      <c r="C100" t="s">
        <v>264</v>
      </c>
      <c r="D100" t="s">
        <v>203</v>
      </c>
      <c r="E100" s="2">
        <v>-22691.11</v>
      </c>
      <c r="F100" s="3">
        <f>_xlfn.XLOOKUP(Cash[[#This Row],[DocNo]],bank_statement_jun2026!C:C,bank_statement_jun2026!D:D,"Not Found")</f>
        <v>-22691.11</v>
      </c>
      <c r="G100" t="str">
        <f t="shared" si="2"/>
        <v>Matched</v>
      </c>
      <c r="H100" s="6">
        <f t="shared" si="3"/>
        <v>0</v>
      </c>
    </row>
    <row r="101" spans="1:9" hidden="1" x14ac:dyDescent="0.2">
      <c r="A101" s="1">
        <v>46196</v>
      </c>
      <c r="B101" t="s">
        <v>258</v>
      </c>
      <c r="C101" t="s">
        <v>276</v>
      </c>
      <c r="D101" t="s">
        <v>201</v>
      </c>
      <c r="E101" s="2">
        <v>-6648.91</v>
      </c>
      <c r="F101" s="3">
        <f>_xlfn.XLOOKUP(Cash[[#This Row],[DocNo]],bank_statement_jun2026!C:C,bank_statement_jun2026!D:D,"Not Found")</f>
        <v>-6649.18</v>
      </c>
      <c r="G101" t="str">
        <f t="shared" si="2"/>
        <v>Difference</v>
      </c>
      <c r="H101" s="2">
        <f t="shared" si="3"/>
        <v>0.27</v>
      </c>
      <c r="I101" t="s">
        <v>311</v>
      </c>
    </row>
    <row r="102" spans="1:9" hidden="1" x14ac:dyDescent="0.2">
      <c r="A102" s="1">
        <v>46197</v>
      </c>
      <c r="B102" t="s">
        <v>258</v>
      </c>
      <c r="C102" t="s">
        <v>280</v>
      </c>
      <c r="D102" t="s">
        <v>205</v>
      </c>
      <c r="E102" s="2">
        <v>-10531.31</v>
      </c>
      <c r="F102" s="3">
        <f>_xlfn.XLOOKUP(Cash[[#This Row],[DocNo]],bank_statement_jun2026!C:C,bank_statement_jun2026!D:D,"Not Found")</f>
        <v>-10531.31</v>
      </c>
      <c r="G102" t="str">
        <f t="shared" si="2"/>
        <v>Matched</v>
      </c>
      <c r="H102" s="6">
        <f t="shared" si="3"/>
        <v>0</v>
      </c>
    </row>
    <row r="103" spans="1:9" hidden="1" x14ac:dyDescent="0.2">
      <c r="A103" s="1">
        <v>46197</v>
      </c>
      <c r="B103" t="s">
        <v>258</v>
      </c>
      <c r="C103" t="s">
        <v>267</v>
      </c>
      <c r="D103" t="s">
        <v>211</v>
      </c>
      <c r="E103" s="2">
        <v>-22899.9</v>
      </c>
      <c r="F103" s="3">
        <f>_xlfn.XLOOKUP(Cash[[#This Row],[DocNo]],bank_statement_jun2026!C:C,bank_statement_jun2026!D:D,"Not Found")</f>
        <v>-22899.9</v>
      </c>
      <c r="G103" t="str">
        <f t="shared" si="2"/>
        <v>Matched</v>
      </c>
      <c r="H103" s="6">
        <f t="shared" si="3"/>
        <v>0</v>
      </c>
    </row>
    <row r="104" spans="1:9" hidden="1" x14ac:dyDescent="0.2">
      <c r="A104" s="1">
        <v>46197</v>
      </c>
      <c r="B104" t="s">
        <v>258</v>
      </c>
      <c r="C104" t="s">
        <v>259</v>
      </c>
      <c r="D104" t="s">
        <v>215</v>
      </c>
      <c r="E104" s="2">
        <v>-16540.939999999999</v>
      </c>
      <c r="F104" s="3">
        <f>_xlfn.XLOOKUP(Cash[[#This Row],[DocNo]],bank_statement_jun2026!C:C,bank_statement_jun2026!D:D,"Not Found")</f>
        <v>-16540.939999999999</v>
      </c>
      <c r="G104" t="str">
        <f t="shared" si="2"/>
        <v>Matched</v>
      </c>
      <c r="H104" s="6">
        <f t="shared" si="3"/>
        <v>0</v>
      </c>
    </row>
    <row r="105" spans="1:9" hidden="1" x14ac:dyDescent="0.2">
      <c r="A105" s="1">
        <v>46197</v>
      </c>
      <c r="B105" t="s">
        <v>258</v>
      </c>
      <c r="C105" t="s">
        <v>261</v>
      </c>
      <c r="D105" t="s">
        <v>209</v>
      </c>
      <c r="E105" s="2">
        <v>30455.14</v>
      </c>
      <c r="F105" s="3">
        <f>_xlfn.XLOOKUP(Cash[[#This Row],[DocNo]],bank_statement_jun2026!C:C,bank_statement_jun2026!D:D,"Not Found")</f>
        <v>30455.14</v>
      </c>
      <c r="G105" t="str">
        <f t="shared" si="2"/>
        <v>Matched</v>
      </c>
      <c r="H105" s="6">
        <f t="shared" si="3"/>
        <v>0</v>
      </c>
    </row>
    <row r="106" spans="1:9" hidden="1" x14ac:dyDescent="0.2">
      <c r="A106" s="1">
        <v>46198</v>
      </c>
      <c r="B106" t="s">
        <v>258</v>
      </c>
      <c r="C106" t="s">
        <v>266</v>
      </c>
      <c r="D106" t="s">
        <v>223</v>
      </c>
      <c r="E106" s="2">
        <v>-5308.77</v>
      </c>
      <c r="F106" s="3">
        <f>_xlfn.XLOOKUP(Cash[[#This Row],[DocNo]],bank_statement_jun2026!C:C,bank_statement_jun2026!D:D,"Not Found")</f>
        <v>-5308.77</v>
      </c>
      <c r="G106" t="str">
        <f t="shared" si="2"/>
        <v>Matched</v>
      </c>
      <c r="H106" s="6">
        <f t="shared" si="3"/>
        <v>0</v>
      </c>
    </row>
    <row r="107" spans="1:9" hidden="1" x14ac:dyDescent="0.2">
      <c r="A107" s="1">
        <v>46198</v>
      </c>
      <c r="B107" t="s">
        <v>258</v>
      </c>
      <c r="C107" t="s">
        <v>271</v>
      </c>
      <c r="D107" t="s">
        <v>221</v>
      </c>
      <c r="E107" s="2">
        <v>-19617.669999999998</v>
      </c>
      <c r="F107" s="3">
        <f>_xlfn.XLOOKUP(Cash[[#This Row],[DocNo]],bank_statement_jun2026!C:C,bank_statement_jun2026!D:D,"Not Found")</f>
        <v>-19617.669999999998</v>
      </c>
      <c r="G107" t="str">
        <f t="shared" si="2"/>
        <v>Matched</v>
      </c>
      <c r="H107" s="6">
        <f t="shared" si="3"/>
        <v>0</v>
      </c>
    </row>
    <row r="108" spans="1:9" hidden="1" x14ac:dyDescent="0.2">
      <c r="A108" s="1">
        <v>46198</v>
      </c>
      <c r="B108" t="s">
        <v>258</v>
      </c>
      <c r="C108" t="s">
        <v>277</v>
      </c>
      <c r="D108" t="s">
        <v>225</v>
      </c>
      <c r="E108" s="2">
        <v>-7711.34</v>
      </c>
      <c r="F108" s="3">
        <f>_xlfn.XLOOKUP(Cash[[#This Row],[DocNo]],bank_statement_jun2026!C:C,bank_statement_jun2026!D:D,"Not Found")</f>
        <v>-7711.34</v>
      </c>
      <c r="G108" t="str">
        <f t="shared" si="2"/>
        <v>Matched</v>
      </c>
      <c r="H108" s="6">
        <f t="shared" si="3"/>
        <v>0</v>
      </c>
    </row>
    <row r="109" spans="1:9" hidden="1" x14ac:dyDescent="0.2">
      <c r="A109" s="1">
        <v>46198</v>
      </c>
      <c r="B109" t="s">
        <v>258</v>
      </c>
      <c r="C109" t="s">
        <v>279</v>
      </c>
      <c r="D109" t="s">
        <v>217</v>
      </c>
      <c r="E109" s="2">
        <v>-20256.73</v>
      </c>
      <c r="F109" s="3">
        <f>_xlfn.XLOOKUP(Cash[[#This Row],[DocNo]],bank_statement_jun2026!C:C,bank_statement_jun2026!D:D,"Not Found")</f>
        <v>-20256.73</v>
      </c>
      <c r="G109" t="str">
        <f t="shared" si="2"/>
        <v>Matched</v>
      </c>
      <c r="H109" s="6">
        <f t="shared" si="3"/>
        <v>0</v>
      </c>
    </row>
    <row r="110" spans="1:9" hidden="1" x14ac:dyDescent="0.2">
      <c r="A110" s="1">
        <v>46199</v>
      </c>
      <c r="B110" t="s">
        <v>258</v>
      </c>
      <c r="C110" t="s">
        <v>266</v>
      </c>
      <c r="D110" t="s">
        <v>231</v>
      </c>
      <c r="E110" s="2">
        <v>-15125.76</v>
      </c>
      <c r="F110" s="3">
        <f>_xlfn.XLOOKUP(Cash[[#This Row],[DocNo]],bank_statement_jun2026!C:C,bank_statement_jun2026!D:D,"Not Found")</f>
        <v>-15125.76</v>
      </c>
      <c r="G110" t="str">
        <f t="shared" si="2"/>
        <v>Matched</v>
      </c>
      <c r="H110" s="6">
        <f t="shared" si="3"/>
        <v>0</v>
      </c>
    </row>
    <row r="111" spans="1:9" x14ac:dyDescent="0.2">
      <c r="A111" s="1">
        <v>46199</v>
      </c>
      <c r="B111" t="s">
        <v>258</v>
      </c>
      <c r="C111" t="s">
        <v>282</v>
      </c>
      <c r="D111" t="s">
        <v>252</v>
      </c>
      <c r="E111" s="2">
        <v>-7412.66</v>
      </c>
      <c r="F111" s="3" t="str">
        <f>_xlfn.XLOOKUP(Cash[[#This Row],[DocNo]],bank_statement_jun2026!C:C,bank_statement_jun2026!D:D,"Not Found")</f>
        <v>Not Found</v>
      </c>
      <c r="G111" t="str">
        <f t="shared" si="2"/>
        <v>Missing from Bank</v>
      </c>
      <c r="H111" s="6" t="str">
        <f t="shared" si="3"/>
        <v/>
      </c>
      <c r="I111" t="s">
        <v>312</v>
      </c>
    </row>
    <row r="112" spans="1:9" hidden="1" x14ac:dyDescent="0.2">
      <c r="A112" s="1">
        <v>46199</v>
      </c>
      <c r="B112" t="s">
        <v>258</v>
      </c>
      <c r="C112" t="s">
        <v>273</v>
      </c>
      <c r="D112" t="s">
        <v>235</v>
      </c>
      <c r="E112" s="2">
        <v>-22249.66</v>
      </c>
      <c r="F112" s="3">
        <f>_xlfn.XLOOKUP(Cash[[#This Row],[DocNo]],bank_statement_jun2026!C:C,bank_statement_jun2026!D:D,"Not Found")</f>
        <v>-22249.66</v>
      </c>
      <c r="G112" t="str">
        <f t="shared" si="2"/>
        <v>Matched</v>
      </c>
      <c r="H112" s="6">
        <f t="shared" si="3"/>
        <v>0</v>
      </c>
    </row>
    <row r="113" spans="1:9" hidden="1" x14ac:dyDescent="0.2">
      <c r="A113" s="1">
        <v>46199</v>
      </c>
      <c r="B113" t="s">
        <v>258</v>
      </c>
      <c r="C113" t="s">
        <v>262</v>
      </c>
      <c r="D113" t="s">
        <v>237</v>
      </c>
      <c r="E113" s="2">
        <v>-20774.91</v>
      </c>
      <c r="F113" s="3">
        <f>_xlfn.XLOOKUP(Cash[[#This Row],[DocNo]],bank_statement_jun2026!C:C,bank_statement_jun2026!D:D,"Not Found")</f>
        <v>-20774.91</v>
      </c>
      <c r="G113" t="str">
        <f t="shared" si="2"/>
        <v>Matched</v>
      </c>
      <c r="H113" s="6">
        <f t="shared" si="3"/>
        <v>0</v>
      </c>
    </row>
    <row r="114" spans="1:9" hidden="1" x14ac:dyDescent="0.2">
      <c r="A114" s="1">
        <v>46199</v>
      </c>
      <c r="B114" t="s">
        <v>258</v>
      </c>
      <c r="C114" t="s">
        <v>262</v>
      </c>
      <c r="D114" t="s">
        <v>239</v>
      </c>
      <c r="E114" s="2">
        <v>-6535.31</v>
      </c>
      <c r="F114" s="3">
        <f>_xlfn.XLOOKUP(Cash[[#This Row],[DocNo]],bank_statement_jun2026!C:C,bank_statement_jun2026!D:D,"Not Found")</f>
        <v>-6535.31</v>
      </c>
      <c r="G114" t="str">
        <f t="shared" si="2"/>
        <v>Matched</v>
      </c>
      <c r="H114" s="6">
        <f t="shared" si="3"/>
        <v>0</v>
      </c>
    </row>
    <row r="115" spans="1:9" hidden="1" x14ac:dyDescent="0.2">
      <c r="A115" s="1">
        <v>46199</v>
      </c>
      <c r="B115" t="s">
        <v>258</v>
      </c>
      <c r="C115" t="s">
        <v>276</v>
      </c>
      <c r="D115" t="s">
        <v>241</v>
      </c>
      <c r="E115" s="2">
        <v>-22311.13</v>
      </c>
      <c r="F115" s="3">
        <f>_xlfn.XLOOKUP(Cash[[#This Row],[DocNo]],bank_statement_jun2026!C:C,bank_statement_jun2026!D:D,"Not Found")</f>
        <v>-22311.13</v>
      </c>
      <c r="G115" t="str">
        <f t="shared" si="2"/>
        <v>Matched</v>
      </c>
      <c r="H115" s="6">
        <f t="shared" si="3"/>
        <v>0</v>
      </c>
    </row>
    <row r="116" spans="1:9" hidden="1" x14ac:dyDescent="0.2">
      <c r="A116" s="1">
        <v>46199</v>
      </c>
      <c r="B116" t="s">
        <v>258</v>
      </c>
      <c r="C116" t="s">
        <v>277</v>
      </c>
      <c r="D116" t="s">
        <v>233</v>
      </c>
      <c r="E116" s="2">
        <v>-8508.86</v>
      </c>
      <c r="F116" s="3">
        <f>_xlfn.XLOOKUP(Cash[[#This Row],[DocNo]],bank_statement_jun2026!C:C,bank_statement_jun2026!D:D,"Not Found")</f>
        <v>-8508.86</v>
      </c>
      <c r="G116" t="str">
        <f t="shared" si="2"/>
        <v>Matched</v>
      </c>
      <c r="H116" s="6">
        <f t="shared" si="3"/>
        <v>0</v>
      </c>
    </row>
    <row r="117" spans="1:9" hidden="1" x14ac:dyDescent="0.2">
      <c r="A117" s="1">
        <v>46199</v>
      </c>
      <c r="B117" t="s">
        <v>258</v>
      </c>
      <c r="C117" t="s">
        <v>268</v>
      </c>
      <c r="D117" t="s">
        <v>213</v>
      </c>
      <c r="E117" s="2">
        <v>-13902.44</v>
      </c>
      <c r="F117" s="3">
        <f>_xlfn.XLOOKUP(Cash[[#This Row],[DocNo]],bank_statement_jun2026!C:C,bank_statement_jun2026!D:D,"Not Found")</f>
        <v>-13902.08</v>
      </c>
      <c r="G117" t="str">
        <f t="shared" si="2"/>
        <v>Difference</v>
      </c>
      <c r="H117" s="2">
        <f t="shared" si="3"/>
        <v>-0.36</v>
      </c>
      <c r="I117" t="s">
        <v>313</v>
      </c>
    </row>
    <row r="118" spans="1:9" x14ac:dyDescent="0.2">
      <c r="A118" s="1">
        <v>46202</v>
      </c>
      <c r="B118" t="s">
        <v>258</v>
      </c>
      <c r="C118" t="s">
        <v>283</v>
      </c>
      <c r="D118" t="s">
        <v>253</v>
      </c>
      <c r="E118" s="2">
        <v>-2340.5500000000002</v>
      </c>
      <c r="F118" s="3" t="str">
        <f>_xlfn.XLOOKUP(Cash[[#This Row],[DocNo]],bank_statement_jun2026!C:C,bank_statement_jun2026!D:D,"Not Found")</f>
        <v>Not Found</v>
      </c>
      <c r="G118" t="str">
        <f t="shared" si="2"/>
        <v>Missing from Bank</v>
      </c>
      <c r="H118" s="6" t="str">
        <f t="shared" si="3"/>
        <v/>
      </c>
      <c r="I118" t="s">
        <v>312</v>
      </c>
    </row>
    <row r="119" spans="1:9" x14ac:dyDescent="0.2">
      <c r="A119" s="1">
        <v>46202</v>
      </c>
      <c r="B119" t="s">
        <v>258</v>
      </c>
      <c r="C119" t="s">
        <v>284</v>
      </c>
      <c r="D119" t="s">
        <v>254</v>
      </c>
      <c r="E119" s="2">
        <v>-15890.23</v>
      </c>
      <c r="F119" s="3" t="str">
        <f>_xlfn.XLOOKUP(Cash[[#This Row],[DocNo]],bank_statement_jun2026!C:C,bank_statement_jun2026!D:D,"Not Found")</f>
        <v>Not Found</v>
      </c>
      <c r="G119" t="str">
        <f t="shared" si="2"/>
        <v>Missing from Bank</v>
      </c>
      <c r="H119" s="6" t="str">
        <f t="shared" si="3"/>
        <v/>
      </c>
      <c r="I119" t="s">
        <v>312</v>
      </c>
    </row>
    <row r="120" spans="1:9" x14ac:dyDescent="0.2">
      <c r="A120" s="1">
        <v>46203</v>
      </c>
      <c r="B120" t="s">
        <v>258</v>
      </c>
      <c r="C120" t="s">
        <v>285</v>
      </c>
      <c r="D120" t="s">
        <v>255</v>
      </c>
      <c r="E120" s="2">
        <v>-4178.09</v>
      </c>
      <c r="F120" s="3" t="str">
        <f>_xlfn.XLOOKUP(Cash[[#This Row],[DocNo]],bank_statement_jun2026!C:C,bank_statement_jun2026!D:D,"Not Found")</f>
        <v>Not Found</v>
      </c>
      <c r="G120" t="str">
        <f t="shared" si="2"/>
        <v>Missing from Bank</v>
      </c>
      <c r="H120" s="6" t="str">
        <f t="shared" si="3"/>
        <v/>
      </c>
      <c r="I120" t="s">
        <v>312</v>
      </c>
    </row>
    <row r="121" spans="1:9" x14ac:dyDescent="0.2">
      <c r="A121" s="1">
        <v>46203</v>
      </c>
      <c r="B121" t="s">
        <v>258</v>
      </c>
      <c r="C121" t="s">
        <v>251</v>
      </c>
      <c r="D121" t="s">
        <v>256</v>
      </c>
      <c r="E121" s="2">
        <v>12764.31</v>
      </c>
      <c r="F121" s="3" t="str">
        <f>_xlfn.XLOOKUP(Cash[[#This Row],[DocNo]],bank_statement_jun2026!C:C,bank_statement_jun2026!D:D,"Not Found")</f>
        <v>Not Found</v>
      </c>
      <c r="G121" t="str">
        <f t="shared" si="2"/>
        <v>Missing from Bank</v>
      </c>
      <c r="H121" s="6" t="str">
        <f t="shared" si="3"/>
        <v/>
      </c>
      <c r="I121" t="s">
        <v>314</v>
      </c>
    </row>
    <row r="122" spans="1:9" x14ac:dyDescent="0.2">
      <c r="A122" s="1">
        <v>46203</v>
      </c>
      <c r="B122" t="s">
        <v>258</v>
      </c>
      <c r="C122" t="s">
        <v>261</v>
      </c>
      <c r="D122" t="s">
        <v>257</v>
      </c>
      <c r="E122" s="2">
        <v>48310.77</v>
      </c>
      <c r="F122" s="3" t="str">
        <f>_xlfn.XLOOKUP(Cash[[#This Row],[DocNo]],bank_statement_jun2026!C:C,bank_statement_jun2026!D:D,"Not Found")</f>
        <v>Not Found</v>
      </c>
      <c r="G122" t="str">
        <f t="shared" si="2"/>
        <v>Missing from Bank</v>
      </c>
      <c r="H122" s="6" t="str">
        <f t="shared" si="3"/>
        <v/>
      </c>
      <c r="I122" t="s">
        <v>314</v>
      </c>
    </row>
    <row r="123" spans="1:9" x14ac:dyDescent="0.2">
      <c r="F123"/>
    </row>
    <row r="124" spans="1:9" x14ac:dyDescent="0.2">
      <c r="D124" s="4" t="s">
        <v>315</v>
      </c>
      <c r="E124" s="5">
        <f>SUM(Cash[Amount])</f>
        <v>253663.77000000011</v>
      </c>
      <c r="F124" s="4"/>
      <c r="G124" s="4" t="s">
        <v>304</v>
      </c>
      <c r="H124" s="5">
        <f>SUM(Cash[Difference Amount])</f>
        <v>0.35</v>
      </c>
    </row>
  </sheetData>
  <conditionalFormatting sqref="F1:F122 F125:F1048576">
    <cfRule type="cellIs" dxfId="7" priority="1" operator="lessThan">
      <formula>0</formula>
    </cfRule>
  </conditionalFormatting>
  <conditionalFormatting sqref="G2:G122">
    <cfRule type="expression" dxfId="5" priority="2">
      <formula>AND(G2&lt;&gt;"",G2&lt;&gt;"Matched")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Bank Reconciliation Statement</vt:lpstr>
      <vt:lpstr>bank_statement_jun2026</vt:lpstr>
      <vt:lpstr>gl_cash_extract_jun2026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Glitz Babe</dc:creator>
  <cp:lastModifiedBy>Glitz Babe</cp:lastModifiedBy>
  <dcterms:created xsi:type="dcterms:W3CDTF">2026-09-24T17:05:34Z</dcterms:created>
  <dcterms:modified xsi:type="dcterms:W3CDTF">2026-09-25T17:22:19Z</dcterms:modified>
</cp:coreProperties>
</file>